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istrator\Pictures\"/>
    </mc:Choice>
  </mc:AlternateContent>
  <xr:revisionPtr revIDLastSave="0" documentId="13_ncr:1_{3D4A68A9-A270-46D3-8D45-F2D47C729087}" xr6:coauthVersionLast="47" xr6:coauthVersionMax="47" xr10:uidLastSave="{00000000-0000-0000-0000-000000000000}"/>
  <bookViews>
    <workbookView xWindow="-120" yWindow="-120" windowWidth="20730" windowHeight="11160" firstSheet="1" activeTab="4" xr2:uid="{00000000-000D-0000-FFFF-FFFF00000000}"/>
  </bookViews>
  <sheets>
    <sheet name="Sheet1" sheetId="3" r:id="rId1"/>
    <sheet name="Dashboard" sheetId="16" r:id="rId2"/>
    <sheet name="Sheet4" sheetId="5" r:id="rId3"/>
    <sheet name="Sheet9" sheetId="10" r:id="rId4"/>
    <sheet name="KPI" sheetId="19" r:id="rId5"/>
    <sheet name="Sheet10" sheetId="11" r:id="rId6"/>
    <sheet name="Sheet11" sheetId="12" r:id="rId7"/>
    <sheet name="Sheet13" sheetId="14" r:id="rId8"/>
    <sheet name="Sales_Data" sheetId="1" r:id="rId9"/>
  </sheets>
  <definedNames>
    <definedName name="Slicer_Branch">#N/A</definedName>
    <definedName name="Slicer_City">#N/A</definedName>
    <definedName name="Slicer_Customer_Type">#N/A</definedName>
    <definedName name="Slicer_Gender">#N/A</definedName>
    <definedName name="Slicer_Payment">#N/A</definedName>
    <definedName name="Slicer_Product_Line">#N/A</definedName>
  </definedNames>
  <calcPr calcId="191029"/>
  <pivotCaches>
    <pivotCache cacheId="3" r:id="rId10"/>
    <pivotCache cacheId="1"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4:slicerCache r:id="rId16"/>
        <x14:slicerCache r:id="rId1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 i="19" l="1"/>
  <c r="Y4" i="19"/>
  <c r="X4" i="19"/>
  <c r="W4" i="19"/>
  <c r="V4" i="19"/>
  <c r="U4" i="19"/>
  <c r="AE19" i="16"/>
  <c r="K52" i="1"/>
  <c r="AE6" i="16" s="1"/>
  <c r="J52" i="1"/>
  <c r="AF6" i="16" s="1"/>
  <c r="I52" i="1"/>
  <c r="AG6" i="16" s="1"/>
  <c r="H52" i="1"/>
  <c r="AH6" i="16" s="1"/>
</calcChain>
</file>

<file path=xl/sharedStrings.xml><?xml version="1.0" encoding="utf-8"?>
<sst xmlns="http://schemas.openxmlformats.org/spreadsheetml/2006/main" count="416" uniqueCount="101">
  <si>
    <t>Date</t>
  </si>
  <si>
    <t>Invoice ID</t>
  </si>
  <si>
    <t>City</t>
  </si>
  <si>
    <t>Branch</t>
  </si>
  <si>
    <t>Customer Type</t>
  </si>
  <si>
    <t>Gender</t>
  </si>
  <si>
    <t>Product Line</t>
  </si>
  <si>
    <t>Unit Price</t>
  </si>
  <si>
    <t>Quantity</t>
  </si>
  <si>
    <t>Tax</t>
  </si>
  <si>
    <t>Total</t>
  </si>
  <si>
    <t>Payment</t>
  </si>
  <si>
    <t>INV101</t>
  </si>
  <si>
    <t>Salem</t>
  </si>
  <si>
    <t>A</t>
  </si>
  <si>
    <t>Normal</t>
  </si>
  <si>
    <t>Male</t>
  </si>
  <si>
    <t>Home and lifestyle</t>
  </si>
  <si>
    <t>Cash</t>
  </si>
  <si>
    <t>INV102</t>
  </si>
  <si>
    <t>Madurai</t>
  </si>
  <si>
    <t>B</t>
  </si>
  <si>
    <t>Food and beverages</t>
  </si>
  <si>
    <t>INV103</t>
  </si>
  <si>
    <t>Coimbatore</t>
  </si>
  <si>
    <t>C</t>
  </si>
  <si>
    <t>Female</t>
  </si>
  <si>
    <t>Electronic accessories</t>
  </si>
  <si>
    <t>Wallet</t>
  </si>
  <si>
    <t>INV104</t>
  </si>
  <si>
    <t>Member</t>
  </si>
  <si>
    <t>INV105</t>
  </si>
  <si>
    <t>Trichy</t>
  </si>
  <si>
    <t>INV106</t>
  </si>
  <si>
    <t>INV107</t>
  </si>
  <si>
    <t>INV108</t>
  </si>
  <si>
    <t>INV109</t>
  </si>
  <si>
    <t>Chennai</t>
  </si>
  <si>
    <t>Card</t>
  </si>
  <si>
    <t>INV110</t>
  </si>
  <si>
    <t>INV111</t>
  </si>
  <si>
    <t>INV112</t>
  </si>
  <si>
    <t>INV113</t>
  </si>
  <si>
    <t>INV114</t>
  </si>
  <si>
    <t>INV115</t>
  </si>
  <si>
    <t>INV116</t>
  </si>
  <si>
    <t>Health and beauty</t>
  </si>
  <si>
    <t>INV117</t>
  </si>
  <si>
    <t>INV118</t>
  </si>
  <si>
    <t>Fashion accessories</t>
  </si>
  <si>
    <t>INV119</t>
  </si>
  <si>
    <t>INV120</t>
  </si>
  <si>
    <t>INV121</t>
  </si>
  <si>
    <t>INV122</t>
  </si>
  <si>
    <t>INV123</t>
  </si>
  <si>
    <t>INV124</t>
  </si>
  <si>
    <t>INV125</t>
  </si>
  <si>
    <t>INV126</t>
  </si>
  <si>
    <t>INV127</t>
  </si>
  <si>
    <t>INV128</t>
  </si>
  <si>
    <t>INV129</t>
  </si>
  <si>
    <t>INV130</t>
  </si>
  <si>
    <t>INV131</t>
  </si>
  <si>
    <t>INV132</t>
  </si>
  <si>
    <t>INV133</t>
  </si>
  <si>
    <t>INV134</t>
  </si>
  <si>
    <t>INV135</t>
  </si>
  <si>
    <t>INV136</t>
  </si>
  <si>
    <t>INV137</t>
  </si>
  <si>
    <t>INV138</t>
  </si>
  <si>
    <t>INV139</t>
  </si>
  <si>
    <t>INV140</t>
  </si>
  <si>
    <t>INV141</t>
  </si>
  <si>
    <t>INV142</t>
  </si>
  <si>
    <t>INV143</t>
  </si>
  <si>
    <t>INV144</t>
  </si>
  <si>
    <t>INV145</t>
  </si>
  <si>
    <t>INV146</t>
  </si>
  <si>
    <t>INV147</t>
  </si>
  <si>
    <t>INV148</t>
  </si>
  <si>
    <t>INV149</t>
  </si>
  <si>
    <t>INV150</t>
  </si>
  <si>
    <t>Sum of Total</t>
  </si>
  <si>
    <t>Sum of Tax</t>
  </si>
  <si>
    <t>Sum of Quantity</t>
  </si>
  <si>
    <t>Row Labels</t>
  </si>
  <si>
    <t>(blank)</t>
  </si>
  <si>
    <t>Average of Unit Price</t>
  </si>
  <si>
    <t/>
  </si>
  <si>
    <t>Grand Total</t>
  </si>
  <si>
    <t>Total sales</t>
  </si>
  <si>
    <t>Total Tax</t>
  </si>
  <si>
    <t>Total Quantity</t>
  </si>
  <si>
    <t>Total Unit Price</t>
  </si>
  <si>
    <t>GENDER</t>
  </si>
  <si>
    <t>Sales Dashboard</t>
  </si>
  <si>
    <t>Average Unite Price</t>
  </si>
  <si>
    <t>Male Count</t>
  </si>
  <si>
    <t xml:space="preserve"> Female count</t>
  </si>
  <si>
    <t>Total Sales</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</si>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</sst>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theme="1"/>
      <name val="Calibri"/>
      <family val="2"/>
      <scheme val="minor"/>
    </font>
    <font>
      <b/>
      <sz val="14"/>
      <color rgb="FF92D050"/>
      <name val="Calibri"/>
      <family val="2"/>
      <scheme val="minor"/>
    </font>
    <font>
      <sz val="11"/>
      <color rgb="FF92D050"/>
      <name val="Calibri"/>
      <family val="2"/>
      <scheme val="minor"/>
    </font>
    <font>
      <sz val="11"/>
      <color theme="6" tint="0.79998168889431442"/>
      <name val="Calibri"/>
      <family val="2"/>
      <scheme val="minor"/>
    </font>
    <font>
      <b/>
      <sz val="36"/>
      <color theme="0"/>
      <name val="Cambria"/>
      <family val="1"/>
    </font>
    <font>
      <sz val="36"/>
      <color theme="0"/>
      <name val="Cambria"/>
      <family val="1"/>
    </font>
    <font>
      <b/>
      <sz val="14"/>
      <color theme="0"/>
      <name val="Arial"/>
      <family val="2"/>
    </font>
  </fonts>
  <fills count="4">
    <fill>
      <patternFill patternType="none"/>
    </fill>
    <fill>
      <patternFill patternType="gray125"/>
    </fill>
    <fill>
      <patternFill patternType="solid">
        <fgColor theme="4" tint="0.39997558519241921"/>
        <bgColor indexed="64"/>
      </patternFill>
    </fill>
    <fill>
      <patternFill patternType="solid">
        <fgColor rgb="FF34C30D"/>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xf numFmtId="0" fontId="0" fillId="0" borderId="0" xfId="0" applyAlignment="1"/>
    <xf numFmtId="0" fontId="0" fillId="0" borderId="0" xfId="0" applyNumberFormat="1"/>
    <xf numFmtId="0" fontId="0" fillId="2" borderId="0" xfId="0" applyFill="1"/>
    <xf numFmtId="0" fontId="2" fillId="0" borderId="0" xfId="0" applyFont="1"/>
    <xf numFmtId="0" fontId="4" fillId="3" borderId="0" xfId="0" applyFont="1" applyFill="1"/>
    <xf numFmtId="0" fontId="3" fillId="3" borderId="0" xfId="0" applyFont="1" applyFill="1"/>
    <xf numFmtId="0" fontId="5" fillId="3" borderId="0" xfId="0" applyFont="1" applyFill="1" applyAlignment="1"/>
    <xf numFmtId="0" fontId="6" fillId="3" borderId="0" xfId="0" applyFont="1" applyFill="1" applyAlignment="1"/>
    <xf numFmtId="0" fontId="0" fillId="3" borderId="0" xfId="0" applyFill="1"/>
    <xf numFmtId="0" fontId="1" fillId="2" borderId="0" xfId="0" applyFont="1" applyFill="1"/>
    <xf numFmtId="0" fontId="7" fillId="3" borderId="0" xfId="0" applyFont="1" applyFill="1" applyAlignment="1"/>
  </cellXfs>
  <cellStyles count="1">
    <cellStyle name="Normal" xfId="0" builtinId="0"/>
  </cellStyles>
  <dxfs count="7">
    <dxf>
      <numFmt numFmtId="1" formatCode="0"/>
    </dxf>
    <dxf>
      <numFmt numFmtId="164" formatCode="yyyy\-mm\-dd"/>
    </dxf>
    <dxf>
      <numFmt numFmtId="1" formatCode="0"/>
    </dxf>
    <dxf>
      <numFmt numFmtId="164" formatCode="yyyy\-mm\-dd"/>
    </dxf>
    <dxf>
      <numFmt numFmtId="1" formatCode="0"/>
    </dxf>
    <dxf>
      <numFmt numFmtId="1" formatCode="0"/>
    </dxf>
    <dxf>
      <numFmt numFmtId="165" formatCode="0.0"/>
    </dxf>
  </dxfs>
  <tableStyles count="0" defaultTableStyle="TableStyleMedium9" defaultPivotStyle="PivotStyleLight16"/>
  <colors>
    <mruColors>
      <color rgb="FF34C3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task.xlsx]Sheet1!PivotTable2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TAX vs QTY vs Unit Price</a:t>
            </a:r>
          </a:p>
        </c:rich>
      </c:tx>
      <c:layout>
        <c:manualLayout>
          <c:xMode val="edge"/>
          <c:yMode val="edge"/>
          <c:x val="0.31312104056960932"/>
          <c:y val="5.750222990930947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1"/>
          </a:solidFill>
          <a:ln w="9525" cap="flat" cmpd="sng" algn="ctr">
            <a:solidFill>
              <a:schemeClr val="accent1"/>
            </a:solidFill>
            <a:miter lim="800000"/>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9512545499715"/>
          <c:y val="0.17627647714604236"/>
          <c:w val="0.8242135165203115"/>
          <c:h val="0.4801629227784654"/>
        </c:manualLayout>
      </c:layout>
      <c:barChart>
        <c:barDir val="col"/>
        <c:grouping val="clustered"/>
        <c:varyColors val="0"/>
        <c:ser>
          <c:idx val="0"/>
          <c:order val="0"/>
          <c:tx>
            <c:strRef>
              <c:f>Sheet1!$B$3</c:f>
              <c:strCache>
                <c:ptCount val="1"/>
                <c:pt idx="0">
                  <c:v>Sum of Tax</c:v>
                </c:pt>
              </c:strCache>
            </c:strRef>
          </c:tx>
          <c:spPr>
            <a:solidFill>
              <a:schemeClr val="accent1"/>
            </a:solidFill>
            <a:ln w="9525" cap="flat" cmpd="sng" algn="ctr">
              <a:solidFill>
                <a:schemeClr val="accent1"/>
              </a:solidFill>
              <a:miter lim="800000"/>
            </a:ln>
            <a:effectLst>
              <a:outerShdw blurRad="50800" dist="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Electronic accessories</c:v>
                </c:pt>
                <c:pt idx="1">
                  <c:v>Fashion accessories</c:v>
                </c:pt>
                <c:pt idx="2">
                  <c:v>Food and beverages</c:v>
                </c:pt>
                <c:pt idx="3">
                  <c:v>Health and beauty</c:v>
                </c:pt>
                <c:pt idx="4">
                  <c:v>Home and lifestyle</c:v>
                </c:pt>
              </c:strCache>
            </c:strRef>
          </c:cat>
          <c:val>
            <c:numRef>
              <c:f>Sheet1!$B$4:$B$9</c:f>
              <c:numCache>
                <c:formatCode>0</c:formatCode>
                <c:ptCount val="5"/>
                <c:pt idx="0">
                  <c:v>2502.6000000000004</c:v>
                </c:pt>
                <c:pt idx="1">
                  <c:v>1578.95</c:v>
                </c:pt>
                <c:pt idx="2">
                  <c:v>1631.55</c:v>
                </c:pt>
                <c:pt idx="3">
                  <c:v>410.20000000000005</c:v>
                </c:pt>
                <c:pt idx="4">
                  <c:v>1351.35</c:v>
                </c:pt>
              </c:numCache>
            </c:numRef>
          </c:val>
          <c:extLst>
            <c:ext xmlns:c16="http://schemas.microsoft.com/office/drawing/2014/chart" uri="{C3380CC4-5D6E-409C-BE32-E72D297353CC}">
              <c16:uniqueId val="{00000000-E475-416E-A004-66A0CC9E35FC}"/>
            </c:ext>
          </c:extLst>
        </c:ser>
        <c:ser>
          <c:idx val="1"/>
          <c:order val="1"/>
          <c:tx>
            <c:strRef>
              <c:f>Sheet1!$C$3</c:f>
              <c:strCache>
                <c:ptCount val="1"/>
                <c:pt idx="0">
                  <c:v>Sum of Quantity</c:v>
                </c:pt>
              </c:strCache>
            </c:strRef>
          </c:tx>
          <c:spPr>
            <a:solidFill>
              <a:schemeClr val="accent4">
                <a:lumMod val="75000"/>
              </a:schemeClr>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Electronic accessories</c:v>
                </c:pt>
                <c:pt idx="1">
                  <c:v>Fashion accessories</c:v>
                </c:pt>
                <c:pt idx="2">
                  <c:v>Food and beverages</c:v>
                </c:pt>
                <c:pt idx="3">
                  <c:v>Health and beauty</c:v>
                </c:pt>
                <c:pt idx="4">
                  <c:v>Home and lifestyle</c:v>
                </c:pt>
              </c:strCache>
            </c:strRef>
          </c:cat>
          <c:val>
            <c:numRef>
              <c:f>Sheet1!$C$4:$C$9</c:f>
              <c:numCache>
                <c:formatCode>General</c:formatCode>
                <c:ptCount val="5"/>
                <c:pt idx="0">
                  <c:v>40</c:v>
                </c:pt>
                <c:pt idx="1">
                  <c:v>29</c:v>
                </c:pt>
                <c:pt idx="2">
                  <c:v>31</c:v>
                </c:pt>
                <c:pt idx="3">
                  <c:v>11</c:v>
                </c:pt>
                <c:pt idx="4">
                  <c:v>27</c:v>
                </c:pt>
              </c:numCache>
            </c:numRef>
          </c:val>
          <c:extLst>
            <c:ext xmlns:c16="http://schemas.microsoft.com/office/drawing/2014/chart" uri="{C3380CC4-5D6E-409C-BE32-E72D297353CC}">
              <c16:uniqueId val="{00000001-E475-416E-A004-66A0CC9E35FC}"/>
            </c:ext>
          </c:extLst>
        </c:ser>
        <c:ser>
          <c:idx val="2"/>
          <c:order val="2"/>
          <c:tx>
            <c:strRef>
              <c:f>Sheet1!$D$3</c:f>
              <c:strCache>
                <c:ptCount val="1"/>
                <c:pt idx="0">
                  <c:v>Average of Unit Price</c:v>
                </c:pt>
              </c:strCache>
            </c:strRef>
          </c:tx>
          <c:spPr>
            <a:solidFill>
              <a:schemeClr val="accent6">
                <a:lumMod val="75000"/>
              </a:schemeClr>
            </a:solid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Electronic accessories</c:v>
                </c:pt>
                <c:pt idx="1">
                  <c:v>Fashion accessories</c:v>
                </c:pt>
                <c:pt idx="2">
                  <c:v>Food and beverages</c:v>
                </c:pt>
                <c:pt idx="3">
                  <c:v>Health and beauty</c:v>
                </c:pt>
                <c:pt idx="4">
                  <c:v>Home and lifestyle</c:v>
                </c:pt>
              </c:strCache>
            </c:strRef>
          </c:cat>
          <c:val>
            <c:numRef>
              <c:f>Sheet1!$D$4:$D$9</c:f>
              <c:numCache>
                <c:formatCode>0</c:formatCode>
                <c:ptCount val="5"/>
                <c:pt idx="0">
                  <c:v>1195.8666666666666</c:v>
                </c:pt>
                <c:pt idx="1">
                  <c:v>1108.8</c:v>
                </c:pt>
                <c:pt idx="2">
                  <c:v>994.7</c:v>
                </c:pt>
                <c:pt idx="3">
                  <c:v>907.4</c:v>
                </c:pt>
                <c:pt idx="4">
                  <c:v>1099.7</c:v>
                </c:pt>
              </c:numCache>
            </c:numRef>
          </c:val>
          <c:extLst>
            <c:ext xmlns:c16="http://schemas.microsoft.com/office/drawing/2014/chart" uri="{C3380CC4-5D6E-409C-BE32-E72D297353CC}">
              <c16:uniqueId val="{00000002-E475-416E-A004-66A0CC9E35FC}"/>
            </c:ext>
          </c:extLst>
        </c:ser>
        <c:dLbls>
          <c:showLegendKey val="0"/>
          <c:showVal val="0"/>
          <c:showCatName val="0"/>
          <c:showSerName val="0"/>
          <c:showPercent val="0"/>
          <c:showBubbleSize val="0"/>
        </c:dLbls>
        <c:gapWidth val="315"/>
        <c:overlap val="-40"/>
        <c:axId val="1035214192"/>
        <c:axId val="1035219952"/>
      </c:barChart>
      <c:catAx>
        <c:axId val="103521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5219952"/>
        <c:crosses val="autoZero"/>
        <c:auto val="1"/>
        <c:lblAlgn val="ctr"/>
        <c:lblOffset val="100"/>
        <c:noMultiLvlLbl val="0"/>
      </c:catAx>
      <c:valAx>
        <c:axId val="1035219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5214192"/>
        <c:crosses val="autoZero"/>
        <c:crossBetween val="between"/>
      </c:valAx>
      <c:spPr>
        <a:noFill/>
        <a:ln>
          <a:noFill/>
        </a:ln>
        <a:effectLst>
          <a:outerShdw blurRad="50800" dist="50800" dir="5400000" sx="1000" sy="1000" algn="ctr" rotWithShape="0">
            <a:srgbClr val="000000">
              <a:alpha val="43137"/>
            </a:srgb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task.xlsx]Sheet1!PivotTable2</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TAX vs QTY vs Unit Price</a:t>
            </a:r>
          </a:p>
        </c:rich>
      </c:tx>
      <c:layout>
        <c:manualLayout>
          <c:xMode val="edge"/>
          <c:yMode val="edge"/>
          <c:x val="0.31312104056960932"/>
          <c:y val="5.750222990930947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1"/>
          </a:solidFill>
          <a:ln w="9525" cap="flat" cmpd="sng" algn="ctr">
            <a:solidFill>
              <a:schemeClr val="accent1"/>
            </a:solidFill>
            <a:miter lim="800000"/>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accent1"/>
            </a:solidFill>
            <a:miter lim="800000"/>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flat" cmpd="sng" algn="ctr">
            <a:solidFill>
              <a:schemeClr val="accent1"/>
            </a:solidFill>
            <a:miter lim="800000"/>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9512545499715"/>
          <c:y val="0.17627647714604236"/>
          <c:w val="0.8242135165203115"/>
          <c:h val="0.4801629227784654"/>
        </c:manualLayout>
      </c:layout>
      <c:barChart>
        <c:barDir val="col"/>
        <c:grouping val="clustered"/>
        <c:varyColors val="0"/>
        <c:ser>
          <c:idx val="0"/>
          <c:order val="0"/>
          <c:tx>
            <c:strRef>
              <c:f>Sheet1!$B$3</c:f>
              <c:strCache>
                <c:ptCount val="1"/>
                <c:pt idx="0">
                  <c:v>Sum of Tax</c:v>
                </c:pt>
              </c:strCache>
            </c:strRef>
          </c:tx>
          <c:spPr>
            <a:solidFill>
              <a:schemeClr val="accent1"/>
            </a:solidFill>
            <a:ln w="9525" cap="flat" cmpd="sng" algn="ctr">
              <a:solidFill>
                <a:schemeClr val="accent1"/>
              </a:solidFill>
              <a:miter lim="800000"/>
            </a:ln>
            <a:effectLst>
              <a:outerShdw blurRad="50800" dist="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Electronic accessories</c:v>
                </c:pt>
                <c:pt idx="1">
                  <c:v>Fashion accessories</c:v>
                </c:pt>
                <c:pt idx="2">
                  <c:v>Food and beverages</c:v>
                </c:pt>
                <c:pt idx="3">
                  <c:v>Health and beauty</c:v>
                </c:pt>
                <c:pt idx="4">
                  <c:v>Home and lifestyle</c:v>
                </c:pt>
              </c:strCache>
            </c:strRef>
          </c:cat>
          <c:val>
            <c:numRef>
              <c:f>Sheet1!$B$4:$B$9</c:f>
              <c:numCache>
                <c:formatCode>0</c:formatCode>
                <c:ptCount val="5"/>
                <c:pt idx="0">
                  <c:v>2502.6000000000004</c:v>
                </c:pt>
                <c:pt idx="1">
                  <c:v>1578.95</c:v>
                </c:pt>
                <c:pt idx="2">
                  <c:v>1631.55</c:v>
                </c:pt>
                <c:pt idx="3">
                  <c:v>410.20000000000005</c:v>
                </c:pt>
                <c:pt idx="4">
                  <c:v>1351.35</c:v>
                </c:pt>
              </c:numCache>
            </c:numRef>
          </c:val>
          <c:extLst>
            <c:ext xmlns:c16="http://schemas.microsoft.com/office/drawing/2014/chart" uri="{C3380CC4-5D6E-409C-BE32-E72D297353CC}">
              <c16:uniqueId val="{00000000-0F54-4A73-9AB4-0A5D30988F9C}"/>
            </c:ext>
          </c:extLst>
        </c:ser>
        <c:ser>
          <c:idx val="1"/>
          <c:order val="1"/>
          <c:tx>
            <c:strRef>
              <c:f>Sheet1!$C$3</c:f>
              <c:strCache>
                <c:ptCount val="1"/>
                <c:pt idx="0">
                  <c:v>Sum of Quantity</c:v>
                </c:pt>
              </c:strCache>
            </c:strRef>
          </c:tx>
          <c:spPr>
            <a:solidFill>
              <a:schemeClr val="accent4">
                <a:lumMod val="75000"/>
              </a:schemeClr>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Electronic accessories</c:v>
                </c:pt>
                <c:pt idx="1">
                  <c:v>Fashion accessories</c:v>
                </c:pt>
                <c:pt idx="2">
                  <c:v>Food and beverages</c:v>
                </c:pt>
                <c:pt idx="3">
                  <c:v>Health and beauty</c:v>
                </c:pt>
                <c:pt idx="4">
                  <c:v>Home and lifestyle</c:v>
                </c:pt>
              </c:strCache>
            </c:strRef>
          </c:cat>
          <c:val>
            <c:numRef>
              <c:f>Sheet1!$C$4:$C$9</c:f>
              <c:numCache>
                <c:formatCode>General</c:formatCode>
                <c:ptCount val="5"/>
                <c:pt idx="0">
                  <c:v>40</c:v>
                </c:pt>
                <c:pt idx="1">
                  <c:v>29</c:v>
                </c:pt>
                <c:pt idx="2">
                  <c:v>31</c:v>
                </c:pt>
                <c:pt idx="3">
                  <c:v>11</c:v>
                </c:pt>
                <c:pt idx="4">
                  <c:v>27</c:v>
                </c:pt>
              </c:numCache>
            </c:numRef>
          </c:val>
          <c:extLst>
            <c:ext xmlns:c16="http://schemas.microsoft.com/office/drawing/2014/chart" uri="{C3380CC4-5D6E-409C-BE32-E72D297353CC}">
              <c16:uniqueId val="{00000001-0F54-4A73-9AB4-0A5D30988F9C}"/>
            </c:ext>
          </c:extLst>
        </c:ser>
        <c:ser>
          <c:idx val="2"/>
          <c:order val="2"/>
          <c:tx>
            <c:strRef>
              <c:f>Sheet1!$D$3</c:f>
              <c:strCache>
                <c:ptCount val="1"/>
                <c:pt idx="0">
                  <c:v>Average of Unit Price</c:v>
                </c:pt>
              </c:strCache>
            </c:strRef>
          </c:tx>
          <c:spPr>
            <a:solidFill>
              <a:schemeClr val="accent6">
                <a:lumMod val="75000"/>
              </a:schemeClr>
            </a:solid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Electronic accessories</c:v>
                </c:pt>
                <c:pt idx="1">
                  <c:v>Fashion accessories</c:v>
                </c:pt>
                <c:pt idx="2">
                  <c:v>Food and beverages</c:v>
                </c:pt>
                <c:pt idx="3">
                  <c:v>Health and beauty</c:v>
                </c:pt>
                <c:pt idx="4">
                  <c:v>Home and lifestyle</c:v>
                </c:pt>
              </c:strCache>
            </c:strRef>
          </c:cat>
          <c:val>
            <c:numRef>
              <c:f>Sheet1!$D$4:$D$9</c:f>
              <c:numCache>
                <c:formatCode>0</c:formatCode>
                <c:ptCount val="5"/>
                <c:pt idx="0">
                  <c:v>1195.8666666666666</c:v>
                </c:pt>
                <c:pt idx="1">
                  <c:v>1108.8</c:v>
                </c:pt>
                <c:pt idx="2">
                  <c:v>994.7</c:v>
                </c:pt>
                <c:pt idx="3">
                  <c:v>907.4</c:v>
                </c:pt>
                <c:pt idx="4">
                  <c:v>1099.7</c:v>
                </c:pt>
              </c:numCache>
            </c:numRef>
          </c:val>
          <c:extLst>
            <c:ext xmlns:c16="http://schemas.microsoft.com/office/drawing/2014/chart" uri="{C3380CC4-5D6E-409C-BE32-E72D297353CC}">
              <c16:uniqueId val="{00000002-0F54-4A73-9AB4-0A5D30988F9C}"/>
            </c:ext>
          </c:extLst>
        </c:ser>
        <c:dLbls>
          <c:showLegendKey val="0"/>
          <c:showVal val="0"/>
          <c:showCatName val="0"/>
          <c:showSerName val="0"/>
          <c:showPercent val="0"/>
          <c:showBubbleSize val="0"/>
        </c:dLbls>
        <c:gapWidth val="315"/>
        <c:overlap val="-40"/>
        <c:axId val="1035214192"/>
        <c:axId val="1035219952"/>
      </c:barChart>
      <c:catAx>
        <c:axId val="103521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5219952"/>
        <c:crosses val="autoZero"/>
        <c:auto val="1"/>
        <c:lblAlgn val="ctr"/>
        <c:lblOffset val="100"/>
        <c:noMultiLvlLbl val="0"/>
      </c:catAx>
      <c:valAx>
        <c:axId val="1035219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5214192"/>
        <c:crosses val="autoZero"/>
        <c:crossBetween val="between"/>
      </c:valAx>
      <c:spPr>
        <a:noFill/>
        <a:ln>
          <a:noFill/>
        </a:ln>
        <a:effectLst>
          <a:outerShdw blurRad="50800" dist="50800" dir="5400000" sx="1000" sy="1000" algn="ctr" rotWithShape="0">
            <a:srgbClr val="000000">
              <a:alpha val="43137"/>
            </a:srgb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task.xlsx]Sheet4!PivotTable3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Payment Method</a:t>
            </a:r>
          </a:p>
        </c:rich>
      </c:tx>
      <c:layout>
        <c:manualLayout>
          <c:xMode val="edge"/>
          <c:yMode val="edge"/>
          <c:x val="0.25196799055374797"/>
          <c:y val="5.07572267752245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638732200039789E-3"/>
              <c:y val="-8.0917028228614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879534618074941E-2"/>
              <c:y val="-5.741425178995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859166137240178E-2"/>
              <c:y val="-5.0230149802703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3998934729735806E-2"/>
              <c:y val="-2.9546306711660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97415757015705"/>
              <c:y val="-2.701912260967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638732200039789E-3"/>
              <c:y val="-8.0917028228614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879534618074941E-2"/>
              <c:y val="-5.741425178995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859166137240178E-2"/>
              <c:y val="-5.0230149802703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3998934729735806E-2"/>
              <c:y val="-2.9546306711660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97415757015705"/>
              <c:y val="-2.701912260967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638732200039789E-3"/>
              <c:y val="-8.0917028228614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879534618074941E-2"/>
              <c:y val="-5.741425178995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859166137240178E-2"/>
              <c:y val="-5.0230149802703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3998934729735806E-2"/>
              <c:y val="-2.9546306711660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97415757015705"/>
              <c:y val="-2.701912260967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23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64787976382179"/>
          <c:y val="0.11304394642977318"/>
          <c:w val="0.73471388540200588"/>
          <c:h val="0.80148606811145506"/>
        </c:manualLayout>
      </c:layout>
      <c:pie3DChart>
        <c:varyColors val="1"/>
        <c:ser>
          <c:idx val="0"/>
          <c:order val="0"/>
          <c:tx>
            <c:strRef>
              <c:f>Sheet4!$B$3</c:f>
              <c:strCache>
                <c:ptCount val="1"/>
                <c:pt idx="0">
                  <c:v>Total</c:v>
                </c:pt>
              </c:strCache>
            </c:strRef>
          </c:tx>
          <c:dPt>
            <c:idx val="0"/>
            <c:bubble3D val="0"/>
            <c:explosion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B03-4295-ACE1-0C3C8129614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B03-4295-ACE1-0C3C8129614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B03-4295-ACE1-0C3C8129614A}"/>
              </c:ext>
            </c:extLst>
          </c:dPt>
          <c:dPt>
            <c:idx val="3"/>
            <c:bubble3D val="0"/>
            <c:explosion val="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B03-4295-ACE1-0C3C8129614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B03-4295-ACE1-0C3C8129614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B03-4295-ACE1-0C3C8129614A}"/>
              </c:ext>
            </c:extLst>
          </c:dPt>
          <c:dLbls>
            <c:dLbl>
              <c:idx val="0"/>
              <c:layout>
                <c:manualLayout>
                  <c:x val="2.3638732200039789E-3"/>
                  <c:y val="-8.09170282286142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03-4295-ACE1-0C3C8129614A}"/>
                </c:ext>
              </c:extLst>
            </c:dLbl>
            <c:dLbl>
              <c:idx val="1"/>
              <c:layout>
                <c:manualLayout>
                  <c:x val="3.879534618074941E-2"/>
                  <c:y val="-5.7414251789954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03-4295-ACE1-0C3C8129614A}"/>
                </c:ext>
              </c:extLst>
            </c:dLbl>
            <c:dLbl>
              <c:idx val="2"/>
              <c:layout>
                <c:manualLayout>
                  <c:x val="5.3859166137240178E-2"/>
                  <c:y val="-5.0230149802703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03-4295-ACE1-0C3C8129614A}"/>
                </c:ext>
              </c:extLst>
            </c:dLbl>
            <c:dLbl>
              <c:idx val="3"/>
              <c:layout>
                <c:manualLayout>
                  <c:x val="9.3998934729735806E-2"/>
                  <c:y val="-2.95463067116609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03-4295-ACE1-0C3C8129614A}"/>
                </c:ext>
              </c:extLst>
            </c:dLbl>
            <c:dLbl>
              <c:idx val="4"/>
              <c:layout>
                <c:manualLayout>
                  <c:x val="-0.12297415757015705"/>
                  <c:y val="-2.7019122609673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03-4295-ACE1-0C3C812961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Sheet4!$A$4:$A$10</c:f>
              <c:strCache>
                <c:ptCount val="6"/>
                <c:pt idx="0">
                  <c:v>Electronic accessories</c:v>
                </c:pt>
                <c:pt idx="1">
                  <c:v>Fashion accessories</c:v>
                </c:pt>
                <c:pt idx="2">
                  <c:v>Food and beverages</c:v>
                </c:pt>
                <c:pt idx="3">
                  <c:v>Health and beauty</c:v>
                </c:pt>
                <c:pt idx="4">
                  <c:v>Home and lifestyle</c:v>
                </c:pt>
                <c:pt idx="5">
                  <c:v>(blank)</c:v>
                </c:pt>
              </c:strCache>
            </c:strRef>
          </c:cat>
          <c:val>
            <c:numRef>
              <c:f>Sheet4!$B$4:$B$10</c:f>
              <c:numCache>
                <c:formatCode>0</c:formatCode>
                <c:ptCount val="6"/>
                <c:pt idx="0">
                  <c:v>52554.600000000006</c:v>
                </c:pt>
                <c:pt idx="1">
                  <c:v>33157.949999999997</c:v>
                </c:pt>
                <c:pt idx="2">
                  <c:v>34262.549999999996</c:v>
                </c:pt>
                <c:pt idx="3">
                  <c:v>8614.2000000000007</c:v>
                </c:pt>
                <c:pt idx="4">
                  <c:v>28378.35</c:v>
                </c:pt>
              </c:numCache>
            </c:numRef>
          </c:val>
          <c:extLst>
            <c:ext xmlns:c16="http://schemas.microsoft.com/office/drawing/2014/chart" uri="{C3380CC4-5D6E-409C-BE32-E72D297353CC}">
              <c16:uniqueId val="{0000000C-BB03-4295-ACE1-0C3C8129614A}"/>
            </c:ext>
          </c:extLst>
        </c:ser>
        <c:dLbls>
          <c:dLblPos val="inEnd"/>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14286516117852419"/>
          <c:y val="0.87943187952569746"/>
          <c:w val="0.66703386714341861"/>
          <c:h val="0.10165559092347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task.xlsx]Sheet9!PivotTable7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Gender-wise total sale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en-US"/>
        </a:p>
      </c:txPr>
    </c:title>
    <c:autoTitleDeleted val="0"/>
    <c:pivotFmts>
      <c:pivotFmt>
        <c:idx val="0"/>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2"/>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3"/>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5"/>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c:f>
              <c:strCache>
                <c:ptCount val="1"/>
                <c:pt idx="0">
                  <c:v>Total</c:v>
                </c:pt>
              </c:strCache>
            </c:strRef>
          </c:tx>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1-ED1C-4D87-8AEF-1C9A08698D96}"/>
              </c:ext>
            </c:extLst>
          </c:dPt>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Sheet9!$A$4:$A$5</c:f>
              <c:strCache>
                <c:ptCount val="2"/>
                <c:pt idx="0">
                  <c:v>Female</c:v>
                </c:pt>
                <c:pt idx="1">
                  <c:v>Male</c:v>
                </c:pt>
              </c:strCache>
            </c:strRef>
          </c:cat>
          <c:val>
            <c:numRef>
              <c:f>Sheet9!$B$4:$B$5</c:f>
              <c:numCache>
                <c:formatCode>0</c:formatCode>
                <c:ptCount val="2"/>
                <c:pt idx="0">
                  <c:v>72893.100000000006</c:v>
                </c:pt>
                <c:pt idx="1">
                  <c:v>84074.550000000017</c:v>
                </c:pt>
              </c:numCache>
            </c:numRef>
          </c:val>
          <c:extLst>
            <c:ext xmlns:c16="http://schemas.microsoft.com/office/drawing/2014/chart" uri="{C3380CC4-5D6E-409C-BE32-E72D297353CC}">
              <c16:uniqueId val="{00000002-ED1C-4D87-8AEF-1C9A08698D96}"/>
            </c:ext>
          </c:extLst>
        </c:ser>
        <c:dLbls>
          <c:showLegendKey val="0"/>
          <c:showVal val="1"/>
          <c:showCatName val="0"/>
          <c:showSerName val="0"/>
          <c:showPercent val="0"/>
          <c:showBubbleSize val="0"/>
        </c:dLbls>
        <c:gapWidth val="84"/>
        <c:gapDepth val="53"/>
        <c:shape val="box"/>
        <c:axId val="1630806688"/>
        <c:axId val="1630805728"/>
        <c:axId val="0"/>
      </c:bar3DChart>
      <c:catAx>
        <c:axId val="163080668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 Gender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0805728"/>
        <c:crosses val="autoZero"/>
        <c:auto val="1"/>
        <c:lblAlgn val="ctr"/>
        <c:lblOffset val="100"/>
        <c:noMultiLvlLbl val="0"/>
      </c:catAx>
      <c:valAx>
        <c:axId val="1630805728"/>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Total sales</a:t>
                </a:r>
              </a:p>
            </c:rich>
          </c:tx>
          <c:layout>
            <c:manualLayout>
              <c:xMode val="edge"/>
              <c:yMode val="edge"/>
              <c:x val="0.44847200349956257"/>
              <c:y val="0.79720784065871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0" sourceLinked="1"/>
        <c:majorTickMark val="out"/>
        <c:minorTickMark val="none"/>
        <c:tickLblPos val="nextTo"/>
        <c:crossAx val="1630806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task.xlsx]Sheet10!PivotTable8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Distribution by Payment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66666666666666"/>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7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66666666666666"/>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7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66666666666666"/>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7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Sheet10!$B$3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6A9-40EB-B382-50EDAAF7E58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6A9-40EB-B382-50EDAAF7E58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6A9-40EB-B382-50EDAAF7E582}"/>
              </c:ext>
            </c:extLst>
          </c:dPt>
          <c:dLbls>
            <c:dLbl>
              <c:idx val="0"/>
              <c:layout>
                <c:manualLayout>
                  <c:x val="0.14166666666666666"/>
                  <c:y val="-8.796296296296300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A9-40EB-B382-50EDAAF7E582}"/>
                </c:ext>
              </c:extLst>
            </c:dLbl>
            <c:dLbl>
              <c:idx val="1"/>
              <c:layout>
                <c:manualLayout>
                  <c:x val="0.15555555555555556"/>
                  <c:y val="9.259259259259258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6A9-40EB-B382-50EDAAF7E582}"/>
                </c:ext>
              </c:extLst>
            </c:dLbl>
            <c:dLbl>
              <c:idx val="2"/>
              <c:layout>
                <c:manualLayout>
                  <c:x val="-0.15277777777777779"/>
                  <c:y val="4.166666666666666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6A9-40EB-B382-50EDAAF7E5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Sheet10!$A$4:$A$6</c:f>
              <c:strCache>
                <c:ptCount val="3"/>
                <c:pt idx="0">
                  <c:v>Card</c:v>
                </c:pt>
                <c:pt idx="1">
                  <c:v>Cash</c:v>
                </c:pt>
                <c:pt idx="2">
                  <c:v>Wallet</c:v>
                </c:pt>
              </c:strCache>
            </c:strRef>
          </c:cat>
          <c:val>
            <c:numRef>
              <c:f>Sheet10!$B$4:$B$6</c:f>
              <c:numCache>
                <c:formatCode>0</c:formatCode>
                <c:ptCount val="3"/>
                <c:pt idx="0">
                  <c:v>41715.450000000004</c:v>
                </c:pt>
                <c:pt idx="1">
                  <c:v>39597.599999999999</c:v>
                </c:pt>
                <c:pt idx="2">
                  <c:v>75654.600000000006</c:v>
                </c:pt>
              </c:numCache>
            </c:numRef>
          </c:val>
          <c:extLst>
            <c:ext xmlns:c16="http://schemas.microsoft.com/office/drawing/2014/chart" uri="{C3380CC4-5D6E-409C-BE32-E72D297353CC}">
              <c16:uniqueId val="{00000006-D6A9-40EB-B382-50EDAAF7E58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task.xlsx]Sheet11!PivotTable9</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 by Product Line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7763998250218721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09733158355216E-2"/>
              <c:y val="-0.11339129483814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9180664916885386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097331583552059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3097331583552069E-2"/>
              <c:y val="-9.9502405949256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3097331583552069E-2"/>
              <c:y val="-9.9502405949256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097331583552059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7763998250218721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09733158355216E-2"/>
              <c:y val="-0.11339129483814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9180664916885386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3097331583552069E-2"/>
              <c:y val="-9.9502405949256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097331583552059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7763998250218721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09733158355216E-2"/>
              <c:y val="-0.11339129483814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9180664916885386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38174394867302E-2"/>
          <c:y val="0.18560200458997797"/>
          <c:w val="0.93888888888888888"/>
          <c:h val="0.67003098571011954"/>
        </c:manualLayout>
      </c:layout>
      <c:lineChart>
        <c:grouping val="standard"/>
        <c:varyColors val="0"/>
        <c:ser>
          <c:idx val="0"/>
          <c:order val="0"/>
          <c:tx>
            <c:strRef>
              <c:f>Sheet11!$B$3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1-1F5D-44BD-A196-699E11FFA42F}"/>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3-1F5D-44BD-A196-699E11FFA42F}"/>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5-1F5D-44BD-A196-699E11FFA42F}"/>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7-1F5D-44BD-A196-699E11FFA42F}"/>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9-1F5D-44BD-A196-699E11FFA42F}"/>
              </c:ext>
            </c:extLst>
          </c:dPt>
          <c:dLbls>
            <c:dLbl>
              <c:idx val="0"/>
              <c:layout>
                <c:manualLayout>
                  <c:x val="-7.3097331583552069E-2"/>
                  <c:y val="-9.9502405949256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5D-44BD-A196-699E11FFA42F}"/>
                </c:ext>
              </c:extLst>
            </c:dLbl>
            <c:dLbl>
              <c:idx val="1"/>
              <c:layout>
                <c:manualLayout>
                  <c:x val="-4.6097331583552059E-2"/>
                  <c:y val="-0.11802092446777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5D-44BD-A196-699E11FFA42F}"/>
                </c:ext>
              </c:extLst>
            </c:dLbl>
            <c:dLbl>
              <c:idx val="2"/>
              <c:layout>
                <c:manualLayout>
                  <c:x val="-3.7763998250218721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5D-44BD-A196-699E11FFA42F}"/>
                </c:ext>
              </c:extLst>
            </c:dLbl>
            <c:dLbl>
              <c:idx val="3"/>
              <c:layout>
                <c:manualLayout>
                  <c:x val="-5.009733158355216E-2"/>
                  <c:y val="-0.113391294838145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5D-44BD-A196-699E11FFA42F}"/>
                </c:ext>
              </c:extLst>
            </c:dLbl>
            <c:dLbl>
              <c:idx val="4"/>
              <c:layout>
                <c:manualLayout>
                  <c:x val="-4.9180664916885386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F5D-44BD-A196-699E11FFA4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Sheet11!$A$4:$A$9</c:f>
              <c:strCache>
                <c:ptCount val="5"/>
                <c:pt idx="0">
                  <c:v>Electronic accessories</c:v>
                </c:pt>
                <c:pt idx="1">
                  <c:v>Fashion accessories</c:v>
                </c:pt>
                <c:pt idx="2">
                  <c:v>Food and beverages</c:v>
                </c:pt>
                <c:pt idx="3">
                  <c:v>Health and beauty</c:v>
                </c:pt>
                <c:pt idx="4">
                  <c:v>Home and lifestyle</c:v>
                </c:pt>
              </c:strCache>
            </c:strRef>
          </c:cat>
          <c:val>
            <c:numRef>
              <c:f>Sheet11!$B$4:$B$9</c:f>
              <c:numCache>
                <c:formatCode>0</c:formatCode>
                <c:ptCount val="5"/>
                <c:pt idx="0">
                  <c:v>52554.600000000006</c:v>
                </c:pt>
                <c:pt idx="1">
                  <c:v>33157.949999999997</c:v>
                </c:pt>
                <c:pt idx="2">
                  <c:v>34262.549999999996</c:v>
                </c:pt>
                <c:pt idx="3">
                  <c:v>8614.2000000000007</c:v>
                </c:pt>
                <c:pt idx="4">
                  <c:v>28378.35</c:v>
                </c:pt>
              </c:numCache>
            </c:numRef>
          </c:val>
          <c:smooth val="0"/>
          <c:extLst>
            <c:ext xmlns:c16="http://schemas.microsoft.com/office/drawing/2014/chart" uri="{C3380CC4-5D6E-409C-BE32-E72D297353CC}">
              <c16:uniqueId val="{0000000A-1F5D-44BD-A196-699E11FFA42F}"/>
            </c:ext>
          </c:extLst>
        </c:ser>
        <c:dLbls>
          <c:dLblPos val="t"/>
          <c:showLegendKey val="0"/>
          <c:showVal val="1"/>
          <c:showCatName val="0"/>
          <c:showSerName val="0"/>
          <c:showPercent val="0"/>
          <c:showBubbleSize val="0"/>
        </c:dLbls>
        <c:marker val="1"/>
        <c:smooth val="0"/>
        <c:axId val="1732598832"/>
        <c:axId val="1732601712"/>
      </c:lineChart>
      <c:catAx>
        <c:axId val="173259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2601712"/>
        <c:crosses val="autoZero"/>
        <c:auto val="1"/>
        <c:lblAlgn val="ctr"/>
        <c:lblOffset val="100"/>
        <c:noMultiLvlLbl val="0"/>
      </c:catAx>
      <c:valAx>
        <c:axId val="1732601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259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task.xlsx]Sheet13!PivotTable10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Distribution by Customer Type</a:t>
            </a:r>
          </a:p>
        </c:rich>
      </c:tx>
      <c:layout>
        <c:manualLayout>
          <c:xMode val="edge"/>
          <c:yMode val="edge"/>
          <c:x val="0.20031233595800527"/>
          <c:y val="6.40301128371330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656167979002524E-2"/>
              <c:y val="0.18663057742782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802493438320182E-2"/>
              <c:y val="-0.27621245261009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656167979002524E-2"/>
              <c:y val="0.18663057742782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802493438320182E-2"/>
              <c:y val="-0.27621245261009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656167979002524E-2"/>
              <c:y val="0.18663057742782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802493438320182E-2"/>
              <c:y val="-0.27621245261009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90280719368358"/>
          <c:y val="0.26441634576699813"/>
          <c:w val="0.68360761154855643"/>
          <c:h val="0.66745953630796151"/>
        </c:manualLayout>
      </c:layout>
      <c:pie3DChart>
        <c:varyColors val="1"/>
        <c:ser>
          <c:idx val="0"/>
          <c:order val="0"/>
          <c:tx>
            <c:strRef>
              <c:f>Sheet13!$B$3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5AD-49BD-A6BC-B29ABF84F9C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5AD-49BD-A6BC-B29ABF84F9C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5AD-49BD-A6BC-B29ABF84F9C4}"/>
              </c:ext>
            </c:extLst>
          </c:dPt>
          <c:dLbls>
            <c:dLbl>
              <c:idx val="0"/>
              <c:layout>
                <c:manualLayout>
                  <c:x val="1.9656167979002524E-2"/>
                  <c:y val="0.1866305774278215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D-49BD-A6BC-B29ABF84F9C4}"/>
                </c:ext>
              </c:extLst>
            </c:dLbl>
            <c:dLbl>
              <c:idx val="1"/>
              <c:layout>
                <c:manualLayout>
                  <c:x val="7.2802493438320182E-2"/>
                  <c:y val="-0.2762124526100904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D-49BD-A6BC-B29ABF84F9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Sheet13!$A$4:$A$6</c:f>
              <c:strCache>
                <c:ptCount val="3"/>
                <c:pt idx="0">
                  <c:v>Member</c:v>
                </c:pt>
                <c:pt idx="1">
                  <c:v>Normal</c:v>
                </c:pt>
                <c:pt idx="2">
                  <c:v>(blank)</c:v>
                </c:pt>
              </c:strCache>
            </c:strRef>
          </c:cat>
          <c:val>
            <c:numRef>
              <c:f>Sheet13!$B$4:$B$6</c:f>
              <c:numCache>
                <c:formatCode>0</c:formatCode>
                <c:ptCount val="3"/>
                <c:pt idx="0">
                  <c:v>74331.600000000006</c:v>
                </c:pt>
                <c:pt idx="1">
                  <c:v>82636.050000000017</c:v>
                </c:pt>
              </c:numCache>
            </c:numRef>
          </c:val>
          <c:extLst>
            <c:ext xmlns:c16="http://schemas.microsoft.com/office/drawing/2014/chart" uri="{C3380CC4-5D6E-409C-BE32-E72D297353CC}">
              <c16:uniqueId val="{00000006-D5AD-49BD-A6BC-B29ABF84F9C4}"/>
            </c:ext>
          </c:extLst>
        </c:ser>
        <c:dLbls>
          <c:dLblPos val="bestFit"/>
          <c:showLegendKey val="0"/>
          <c:showVal val="1"/>
          <c:showCatName val="0"/>
          <c:showSerName val="0"/>
          <c:showPercent val="0"/>
          <c:showBubbleSize val="0"/>
          <c:showLeaderLines val="1"/>
        </c:dLbls>
      </c:pie3DChart>
      <c:spPr>
        <a:noFill/>
        <a:ln>
          <a:noFill/>
        </a:ln>
        <a:effectLst/>
      </c:spPr>
    </c:plotArea>
    <c:legend>
      <c:legendPos val="b"/>
      <c:legendEntry>
        <c:idx val="2"/>
        <c:delete val="1"/>
      </c:legendEntry>
      <c:layout>
        <c:manualLayout>
          <c:xMode val="edge"/>
          <c:yMode val="edge"/>
          <c:x val="0.36875306211723535"/>
          <c:y val="0.89799278434677265"/>
          <c:w val="0.26249387576552929"/>
          <c:h val="6.63327451961481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task.xlsx]Sheet4!PivotTable3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Payment Method</a:t>
            </a:r>
          </a:p>
        </c:rich>
      </c:tx>
      <c:layout>
        <c:manualLayout>
          <c:xMode val="edge"/>
          <c:yMode val="edge"/>
          <c:x val="0.25196799055374797"/>
          <c:y val="5.07572267752245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638732200039789E-3"/>
              <c:y val="-8.0917028228614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879534618074941E-2"/>
              <c:y val="-5.741425178995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859166137240178E-2"/>
              <c:y val="-5.0230149802703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3998934729735806E-2"/>
              <c:y val="-2.9546306711660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97415757015705"/>
              <c:y val="-2.701912260967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23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64787976382179"/>
          <c:y val="0.11304394642977318"/>
          <c:w val="0.73471388540200588"/>
          <c:h val="0.80148606811145506"/>
        </c:manualLayout>
      </c:layout>
      <c:pie3DChart>
        <c:varyColors val="1"/>
        <c:ser>
          <c:idx val="0"/>
          <c:order val="0"/>
          <c:tx>
            <c:strRef>
              <c:f>Sheet4!$B$3</c:f>
              <c:strCache>
                <c:ptCount val="1"/>
                <c:pt idx="0">
                  <c:v>Total</c:v>
                </c:pt>
              </c:strCache>
            </c:strRef>
          </c:tx>
          <c:dPt>
            <c:idx val="0"/>
            <c:bubble3D val="0"/>
            <c:explosion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6E6-4D3E-9658-7A42E89E67A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36E6-4D3E-9658-7A42E89E67A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6E6-4D3E-9658-7A42E89E67A6}"/>
              </c:ext>
            </c:extLst>
          </c:dPt>
          <c:dPt>
            <c:idx val="3"/>
            <c:bubble3D val="0"/>
            <c:explosion val="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6E6-4D3E-9658-7A42E89E67A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6E6-4D3E-9658-7A42E89E67A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36E6-4D3E-9658-7A42E89E67A6}"/>
              </c:ext>
            </c:extLst>
          </c:dPt>
          <c:dLbls>
            <c:dLbl>
              <c:idx val="0"/>
              <c:layout>
                <c:manualLayout>
                  <c:x val="2.3638732200039789E-3"/>
                  <c:y val="-8.09170282286142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E6-4D3E-9658-7A42E89E67A6}"/>
                </c:ext>
              </c:extLst>
            </c:dLbl>
            <c:dLbl>
              <c:idx val="1"/>
              <c:layout>
                <c:manualLayout>
                  <c:x val="3.879534618074941E-2"/>
                  <c:y val="-5.7414251789954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E6-4D3E-9658-7A42E89E67A6}"/>
                </c:ext>
              </c:extLst>
            </c:dLbl>
            <c:dLbl>
              <c:idx val="2"/>
              <c:layout>
                <c:manualLayout>
                  <c:x val="5.3859166137240178E-2"/>
                  <c:y val="-5.0230149802703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E6-4D3E-9658-7A42E89E67A6}"/>
                </c:ext>
              </c:extLst>
            </c:dLbl>
            <c:dLbl>
              <c:idx val="3"/>
              <c:layout>
                <c:manualLayout>
                  <c:x val="9.3998934729735806E-2"/>
                  <c:y val="-2.95463067116609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E6-4D3E-9658-7A42E89E67A6}"/>
                </c:ext>
              </c:extLst>
            </c:dLbl>
            <c:dLbl>
              <c:idx val="4"/>
              <c:layout>
                <c:manualLayout>
                  <c:x val="-0.12297415757015705"/>
                  <c:y val="-2.7019122609673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E6-4D3E-9658-7A42E89E67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Sheet4!$A$4:$A$10</c:f>
              <c:strCache>
                <c:ptCount val="6"/>
                <c:pt idx="0">
                  <c:v>Electronic accessories</c:v>
                </c:pt>
                <c:pt idx="1">
                  <c:v>Fashion accessories</c:v>
                </c:pt>
                <c:pt idx="2">
                  <c:v>Food and beverages</c:v>
                </c:pt>
                <c:pt idx="3">
                  <c:v>Health and beauty</c:v>
                </c:pt>
                <c:pt idx="4">
                  <c:v>Home and lifestyle</c:v>
                </c:pt>
                <c:pt idx="5">
                  <c:v>(blank)</c:v>
                </c:pt>
              </c:strCache>
            </c:strRef>
          </c:cat>
          <c:val>
            <c:numRef>
              <c:f>Sheet4!$B$4:$B$10</c:f>
              <c:numCache>
                <c:formatCode>0</c:formatCode>
                <c:ptCount val="6"/>
                <c:pt idx="0">
                  <c:v>52554.600000000006</c:v>
                </c:pt>
                <c:pt idx="1">
                  <c:v>33157.949999999997</c:v>
                </c:pt>
                <c:pt idx="2">
                  <c:v>34262.549999999996</c:v>
                </c:pt>
                <c:pt idx="3">
                  <c:v>8614.2000000000007</c:v>
                </c:pt>
                <c:pt idx="4">
                  <c:v>28378.35</c:v>
                </c:pt>
              </c:numCache>
            </c:numRef>
          </c:val>
          <c:extLst>
            <c:ext xmlns:c16="http://schemas.microsoft.com/office/drawing/2014/chart" uri="{C3380CC4-5D6E-409C-BE32-E72D297353CC}">
              <c16:uniqueId val="{00000000-36E6-4D3E-9658-7A42E89E67A6}"/>
            </c:ext>
          </c:extLst>
        </c:ser>
        <c:dLbls>
          <c:dLblPos val="inEnd"/>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14286516117852419"/>
          <c:y val="0.87943187952569746"/>
          <c:w val="0.66703386714341861"/>
          <c:h val="0.10165559092347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task.xlsx]Sheet9!PivotTable7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Gender-wise total sale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en-US"/>
        </a:p>
      </c:txPr>
    </c:title>
    <c:autoTitleDeleted val="0"/>
    <c:pivotFmts>
      <c:pivotFmt>
        <c:idx val="0"/>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2"/>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c:f>
              <c:strCache>
                <c:ptCount val="1"/>
                <c:pt idx="0">
                  <c:v>Total</c:v>
                </c:pt>
              </c:strCache>
            </c:strRef>
          </c:tx>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3-8F41-4461-97B1-C4D2875DCDCD}"/>
              </c:ext>
            </c:extLst>
          </c:dPt>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Sheet9!$A$4:$A$5</c:f>
              <c:strCache>
                <c:ptCount val="2"/>
                <c:pt idx="0">
                  <c:v>Female</c:v>
                </c:pt>
                <c:pt idx="1">
                  <c:v>Male</c:v>
                </c:pt>
              </c:strCache>
            </c:strRef>
          </c:cat>
          <c:val>
            <c:numRef>
              <c:f>Sheet9!$B$4:$B$5</c:f>
              <c:numCache>
                <c:formatCode>0</c:formatCode>
                <c:ptCount val="2"/>
                <c:pt idx="0">
                  <c:v>72893.100000000006</c:v>
                </c:pt>
                <c:pt idx="1">
                  <c:v>84074.550000000017</c:v>
                </c:pt>
              </c:numCache>
            </c:numRef>
          </c:val>
          <c:extLst>
            <c:ext xmlns:c16="http://schemas.microsoft.com/office/drawing/2014/chart" uri="{C3380CC4-5D6E-409C-BE32-E72D297353CC}">
              <c16:uniqueId val="{00000000-8F41-4461-97B1-C4D2875DCDCD}"/>
            </c:ext>
          </c:extLst>
        </c:ser>
        <c:dLbls>
          <c:showLegendKey val="0"/>
          <c:showVal val="1"/>
          <c:showCatName val="0"/>
          <c:showSerName val="0"/>
          <c:showPercent val="0"/>
          <c:showBubbleSize val="0"/>
        </c:dLbls>
        <c:gapWidth val="84"/>
        <c:gapDepth val="53"/>
        <c:shape val="box"/>
        <c:axId val="1630806688"/>
        <c:axId val="1630805728"/>
        <c:axId val="0"/>
      </c:bar3DChart>
      <c:catAx>
        <c:axId val="163080668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 Gender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0805728"/>
        <c:crosses val="autoZero"/>
        <c:auto val="1"/>
        <c:lblAlgn val="ctr"/>
        <c:lblOffset val="100"/>
        <c:noMultiLvlLbl val="0"/>
      </c:catAx>
      <c:valAx>
        <c:axId val="1630805728"/>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Total sales</a:t>
                </a:r>
              </a:p>
            </c:rich>
          </c:tx>
          <c:layout>
            <c:manualLayout>
              <c:xMode val="edge"/>
              <c:yMode val="edge"/>
              <c:x val="0.44847200349956257"/>
              <c:y val="0.79720784065871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0" sourceLinked="1"/>
        <c:majorTickMark val="out"/>
        <c:minorTickMark val="none"/>
        <c:tickLblPos val="nextTo"/>
        <c:crossAx val="1630806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task.xlsx]Sheet10!PivotTable8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Distribution by Payment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66666666666666"/>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7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Sheet10!$B$3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D1DA-47AD-A581-F770D9DF05F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1DA-47AD-A581-F770D9DF05F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D1DA-47AD-A581-F770D9DF05F4}"/>
              </c:ext>
            </c:extLst>
          </c:dPt>
          <c:dLbls>
            <c:dLbl>
              <c:idx val="0"/>
              <c:layout>
                <c:manualLayout>
                  <c:x val="0.14166666666666666"/>
                  <c:y val="-8.796296296296300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1DA-47AD-A581-F770D9DF05F4}"/>
                </c:ext>
              </c:extLst>
            </c:dLbl>
            <c:dLbl>
              <c:idx val="1"/>
              <c:layout>
                <c:manualLayout>
                  <c:x val="0.15555555555555556"/>
                  <c:y val="9.259259259259258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DA-47AD-A581-F770D9DF05F4}"/>
                </c:ext>
              </c:extLst>
            </c:dLbl>
            <c:dLbl>
              <c:idx val="2"/>
              <c:layout>
                <c:manualLayout>
                  <c:x val="-0.15277777777777779"/>
                  <c:y val="4.166666666666666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1DA-47AD-A581-F770D9DF05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Sheet10!$A$4:$A$6</c:f>
              <c:strCache>
                <c:ptCount val="3"/>
                <c:pt idx="0">
                  <c:v>Card</c:v>
                </c:pt>
                <c:pt idx="1">
                  <c:v>Cash</c:v>
                </c:pt>
                <c:pt idx="2">
                  <c:v>Wallet</c:v>
                </c:pt>
              </c:strCache>
            </c:strRef>
          </c:cat>
          <c:val>
            <c:numRef>
              <c:f>Sheet10!$B$4:$B$6</c:f>
              <c:numCache>
                <c:formatCode>0</c:formatCode>
                <c:ptCount val="3"/>
                <c:pt idx="0">
                  <c:v>41715.450000000004</c:v>
                </c:pt>
                <c:pt idx="1">
                  <c:v>39597.599999999999</c:v>
                </c:pt>
                <c:pt idx="2">
                  <c:v>75654.600000000006</c:v>
                </c:pt>
              </c:numCache>
            </c:numRef>
          </c:val>
          <c:extLst>
            <c:ext xmlns:c16="http://schemas.microsoft.com/office/drawing/2014/chart" uri="{C3380CC4-5D6E-409C-BE32-E72D297353CC}">
              <c16:uniqueId val="{00000000-D1DA-47AD-A581-F770D9DF05F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task.xlsx]Sheet11!PivotTable9</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 by Product Line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7763998250218721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09733158355216E-2"/>
              <c:y val="-0.11339129483814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9180664916885386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097331583552059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3097331583552069E-2"/>
              <c:y val="-9.9502405949256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80037556281074E-2"/>
          <c:y val="0.18560185185185185"/>
          <c:w val="0.93888888888888888"/>
          <c:h val="0.67003098571011954"/>
        </c:manualLayout>
      </c:layout>
      <c:lineChart>
        <c:grouping val="standard"/>
        <c:varyColors val="0"/>
        <c:ser>
          <c:idx val="0"/>
          <c:order val="0"/>
          <c:tx>
            <c:strRef>
              <c:f>Sheet11!$B$3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0-682B-4F6E-824E-B385BA6F1ED6}"/>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F-682B-4F6E-824E-B385BA6F1ED6}"/>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C-682B-4F6E-824E-B385BA6F1ED6}"/>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D-682B-4F6E-824E-B385BA6F1ED6}"/>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E-682B-4F6E-824E-B385BA6F1ED6}"/>
              </c:ext>
            </c:extLst>
          </c:dPt>
          <c:dLbls>
            <c:dLbl>
              <c:idx val="0"/>
              <c:layout>
                <c:manualLayout>
                  <c:x val="-7.3097331583552069E-2"/>
                  <c:y val="-9.9502405949256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82B-4F6E-824E-B385BA6F1ED6}"/>
                </c:ext>
              </c:extLst>
            </c:dLbl>
            <c:dLbl>
              <c:idx val="1"/>
              <c:layout>
                <c:manualLayout>
                  <c:x val="-4.6097331583552059E-2"/>
                  <c:y val="-0.11802092446777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82B-4F6E-824E-B385BA6F1ED6}"/>
                </c:ext>
              </c:extLst>
            </c:dLbl>
            <c:dLbl>
              <c:idx val="2"/>
              <c:layout>
                <c:manualLayout>
                  <c:x val="-3.7763998250218721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82B-4F6E-824E-B385BA6F1ED6}"/>
                </c:ext>
              </c:extLst>
            </c:dLbl>
            <c:dLbl>
              <c:idx val="3"/>
              <c:layout>
                <c:manualLayout>
                  <c:x val="-5.009733158355216E-2"/>
                  <c:y val="-0.113391294838145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82B-4F6E-824E-B385BA6F1ED6}"/>
                </c:ext>
              </c:extLst>
            </c:dLbl>
            <c:dLbl>
              <c:idx val="4"/>
              <c:layout>
                <c:manualLayout>
                  <c:x val="-4.9180664916885386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82B-4F6E-824E-B385BA6F1E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Sheet11!$A$4:$A$9</c:f>
              <c:strCache>
                <c:ptCount val="5"/>
                <c:pt idx="0">
                  <c:v>Electronic accessories</c:v>
                </c:pt>
                <c:pt idx="1">
                  <c:v>Fashion accessories</c:v>
                </c:pt>
                <c:pt idx="2">
                  <c:v>Food and beverages</c:v>
                </c:pt>
                <c:pt idx="3">
                  <c:v>Health and beauty</c:v>
                </c:pt>
                <c:pt idx="4">
                  <c:v>Home and lifestyle</c:v>
                </c:pt>
              </c:strCache>
            </c:strRef>
          </c:cat>
          <c:val>
            <c:numRef>
              <c:f>Sheet11!$B$4:$B$9</c:f>
              <c:numCache>
                <c:formatCode>0</c:formatCode>
                <c:ptCount val="5"/>
                <c:pt idx="0">
                  <c:v>52554.600000000006</c:v>
                </c:pt>
                <c:pt idx="1">
                  <c:v>33157.949999999997</c:v>
                </c:pt>
                <c:pt idx="2">
                  <c:v>34262.549999999996</c:v>
                </c:pt>
                <c:pt idx="3">
                  <c:v>8614.2000000000007</c:v>
                </c:pt>
                <c:pt idx="4">
                  <c:v>28378.35</c:v>
                </c:pt>
              </c:numCache>
            </c:numRef>
          </c:val>
          <c:smooth val="0"/>
          <c:extLst>
            <c:ext xmlns:c16="http://schemas.microsoft.com/office/drawing/2014/chart" uri="{C3380CC4-5D6E-409C-BE32-E72D297353CC}">
              <c16:uniqueId val="{00000000-682B-4F6E-824E-B385BA6F1ED6}"/>
            </c:ext>
          </c:extLst>
        </c:ser>
        <c:dLbls>
          <c:dLblPos val="t"/>
          <c:showLegendKey val="0"/>
          <c:showVal val="1"/>
          <c:showCatName val="0"/>
          <c:showSerName val="0"/>
          <c:showPercent val="0"/>
          <c:showBubbleSize val="0"/>
        </c:dLbls>
        <c:marker val="1"/>
        <c:smooth val="0"/>
        <c:axId val="1732598832"/>
        <c:axId val="1732601712"/>
      </c:lineChart>
      <c:catAx>
        <c:axId val="173259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2601712"/>
        <c:crosses val="autoZero"/>
        <c:auto val="1"/>
        <c:lblAlgn val="ctr"/>
        <c:lblOffset val="100"/>
        <c:noMultiLvlLbl val="0"/>
      </c:catAx>
      <c:valAx>
        <c:axId val="1732601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259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task.xlsx]Sheet13!PivotTable10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Distribution by Customer Type</a:t>
            </a:r>
          </a:p>
        </c:rich>
      </c:tx>
      <c:layout>
        <c:manualLayout>
          <c:xMode val="edge"/>
          <c:yMode val="edge"/>
          <c:x val="0.20031233595800527"/>
          <c:y val="6.40301128371330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656167979002524E-2"/>
              <c:y val="0.18663057742782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802493438320182E-2"/>
              <c:y val="-0.27621245261009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97556339940265"/>
          <c:y val="0.14377846196317798"/>
          <c:w val="0.68360761154855643"/>
          <c:h val="0.66745953630796151"/>
        </c:manualLayout>
      </c:layout>
      <c:pie3DChart>
        <c:varyColors val="1"/>
        <c:ser>
          <c:idx val="0"/>
          <c:order val="0"/>
          <c:tx>
            <c:strRef>
              <c:f>Sheet13!$B$3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8C4-470F-B725-1E562B4F0B1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8C4-470F-B725-1E562B4F0B1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20A-4E61-9390-EB3C53A885B7}"/>
              </c:ext>
            </c:extLst>
          </c:dPt>
          <c:dLbls>
            <c:dLbl>
              <c:idx val="0"/>
              <c:layout>
                <c:manualLayout>
                  <c:x val="1.9656167979002524E-2"/>
                  <c:y val="0.1866305774278215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C4-470F-B725-1E562B4F0B14}"/>
                </c:ext>
              </c:extLst>
            </c:dLbl>
            <c:dLbl>
              <c:idx val="1"/>
              <c:layout>
                <c:manualLayout>
                  <c:x val="7.2802493438320182E-2"/>
                  <c:y val="-0.2762124526100904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C4-470F-B725-1E562B4F0B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Sheet13!$A$4:$A$6</c:f>
              <c:strCache>
                <c:ptCount val="3"/>
                <c:pt idx="0">
                  <c:v>Member</c:v>
                </c:pt>
                <c:pt idx="1">
                  <c:v>Normal</c:v>
                </c:pt>
                <c:pt idx="2">
                  <c:v>(blank)</c:v>
                </c:pt>
              </c:strCache>
            </c:strRef>
          </c:cat>
          <c:val>
            <c:numRef>
              <c:f>Sheet13!$B$4:$B$6</c:f>
              <c:numCache>
                <c:formatCode>0</c:formatCode>
                <c:ptCount val="3"/>
                <c:pt idx="0">
                  <c:v>74331.600000000006</c:v>
                </c:pt>
                <c:pt idx="1">
                  <c:v>82636.050000000017</c:v>
                </c:pt>
              </c:numCache>
            </c:numRef>
          </c:val>
          <c:extLst>
            <c:ext xmlns:c16="http://schemas.microsoft.com/office/drawing/2014/chart" uri="{C3380CC4-5D6E-409C-BE32-E72D297353CC}">
              <c16:uniqueId val="{00000000-B8C4-470F-B725-1E562B4F0B14}"/>
            </c:ext>
          </c:extLst>
        </c:ser>
        <c:dLbls>
          <c:dLblPos val="bestFit"/>
          <c:showLegendKey val="0"/>
          <c:showVal val="1"/>
          <c:showCatName val="0"/>
          <c:showSerName val="0"/>
          <c:showPercent val="0"/>
          <c:showBubbleSize val="0"/>
          <c:showLeaderLines val="1"/>
        </c:dLbls>
      </c:pie3DChart>
      <c:spPr>
        <a:noFill/>
        <a:ln>
          <a:noFill/>
        </a:ln>
        <a:effectLst/>
      </c:spPr>
    </c:plotArea>
    <c:legend>
      <c:legendPos val="b"/>
      <c:legendEntry>
        <c:idx val="2"/>
        <c:delete val="1"/>
      </c:legendEntry>
      <c:layout>
        <c:manualLayout>
          <c:xMode val="edge"/>
          <c:yMode val="edge"/>
          <c:x val="0.36875306211723535"/>
          <c:y val="0.89799278434677265"/>
          <c:w val="0.26249387576552929"/>
          <c:h val="6.63327451961481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342901</xdr:colOff>
      <xdr:row>9</xdr:row>
      <xdr:rowOff>66675</xdr:rowOff>
    </xdr:from>
    <xdr:to>
      <xdr:col>11</xdr:col>
      <xdr:colOff>228601</xdr:colOff>
      <xdr:row>24</xdr:row>
      <xdr:rowOff>57150</xdr:rowOff>
    </xdr:to>
    <xdr:graphicFrame macro="">
      <xdr:nvGraphicFramePr>
        <xdr:cNvPr id="3" name="Chart 2">
          <a:extLst>
            <a:ext uri="{FF2B5EF4-FFF2-40B4-BE49-F238E27FC236}">
              <a16:creationId xmlns:a16="http://schemas.microsoft.com/office/drawing/2014/main" id="{7CEEE19A-439F-7729-311D-4B46A4C52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22171</xdr:rowOff>
    </xdr:from>
    <xdr:to>
      <xdr:col>32</xdr:col>
      <xdr:colOff>254000</xdr:colOff>
      <xdr:row>59</xdr:row>
      <xdr:rowOff>11993</xdr:rowOff>
    </xdr:to>
    <xdr:sp macro="" textlink="">
      <xdr:nvSpPr>
        <xdr:cNvPr id="3" name="Rectangle 2">
          <a:extLst>
            <a:ext uri="{FF2B5EF4-FFF2-40B4-BE49-F238E27FC236}">
              <a16:creationId xmlns:a16="http://schemas.microsoft.com/office/drawing/2014/main" id="{D3006707-C47B-10C0-749F-4D714F433F8F}"/>
            </a:ext>
          </a:extLst>
        </xdr:cNvPr>
        <xdr:cNvSpPr/>
      </xdr:nvSpPr>
      <xdr:spPr>
        <a:xfrm>
          <a:off x="0" y="1701154"/>
          <a:ext cx="21612602" cy="9918424"/>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8</xdr:row>
      <xdr:rowOff>38100</xdr:rowOff>
    </xdr:from>
    <xdr:to>
      <xdr:col>7</xdr:col>
      <xdr:colOff>85725</xdr:colOff>
      <xdr:row>22</xdr:row>
      <xdr:rowOff>38100</xdr:rowOff>
    </xdr:to>
    <xdr:graphicFrame macro="">
      <xdr:nvGraphicFramePr>
        <xdr:cNvPr id="4" name="Chart 3">
          <a:extLst>
            <a:ext uri="{FF2B5EF4-FFF2-40B4-BE49-F238E27FC236}">
              <a16:creationId xmlns:a16="http://schemas.microsoft.com/office/drawing/2014/main" id="{EF06716C-2371-4D08-9C76-AC1CAF218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8</xdr:row>
      <xdr:rowOff>47625</xdr:rowOff>
    </xdr:from>
    <xdr:to>
      <xdr:col>14</xdr:col>
      <xdr:colOff>161925</xdr:colOff>
      <xdr:row>22</xdr:row>
      <xdr:rowOff>47625</xdr:rowOff>
    </xdr:to>
    <xdr:graphicFrame macro="">
      <xdr:nvGraphicFramePr>
        <xdr:cNvPr id="5" name="Chart 4">
          <a:extLst>
            <a:ext uri="{FF2B5EF4-FFF2-40B4-BE49-F238E27FC236}">
              <a16:creationId xmlns:a16="http://schemas.microsoft.com/office/drawing/2014/main" id="{D4C41BF1-695D-438F-9534-AD1E533E0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276224</xdr:colOff>
      <xdr:row>8</xdr:row>
      <xdr:rowOff>38099</xdr:rowOff>
    </xdr:from>
    <xdr:to>
      <xdr:col>21</xdr:col>
      <xdr:colOff>266699</xdr:colOff>
      <xdr:row>22</xdr:row>
      <xdr:rowOff>47624</xdr:rowOff>
    </xdr:to>
    <xdr:graphicFrame macro="">
      <xdr:nvGraphicFramePr>
        <xdr:cNvPr id="6" name="Chart 5">
          <a:extLst>
            <a:ext uri="{FF2B5EF4-FFF2-40B4-BE49-F238E27FC236}">
              <a16:creationId xmlns:a16="http://schemas.microsoft.com/office/drawing/2014/main" id="{F6371C79-DAA4-4ED1-AC06-FF647446C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23</xdr:row>
      <xdr:rowOff>9525</xdr:rowOff>
    </xdr:from>
    <xdr:to>
      <xdr:col>7</xdr:col>
      <xdr:colOff>76200</xdr:colOff>
      <xdr:row>36</xdr:row>
      <xdr:rowOff>180975</xdr:rowOff>
    </xdr:to>
    <xdr:graphicFrame macro="">
      <xdr:nvGraphicFramePr>
        <xdr:cNvPr id="7" name="Chart 6">
          <a:extLst>
            <a:ext uri="{FF2B5EF4-FFF2-40B4-BE49-F238E27FC236}">
              <a16:creationId xmlns:a16="http://schemas.microsoft.com/office/drawing/2014/main" id="{F1B1B351-8CE8-464D-A3B5-5D67A47FF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190500</xdr:colOff>
      <xdr:row>23</xdr:row>
      <xdr:rowOff>19049</xdr:rowOff>
    </xdr:from>
    <xdr:to>
      <xdr:col>14</xdr:col>
      <xdr:colOff>209550</xdr:colOff>
      <xdr:row>36</xdr:row>
      <xdr:rowOff>123825</xdr:rowOff>
    </xdr:to>
    <xdr:graphicFrame macro="">
      <xdr:nvGraphicFramePr>
        <xdr:cNvPr id="8" name="Chart 7">
          <a:extLst>
            <a:ext uri="{FF2B5EF4-FFF2-40B4-BE49-F238E27FC236}">
              <a16:creationId xmlns:a16="http://schemas.microsoft.com/office/drawing/2014/main" id="{841AC3FB-A2C1-43B3-87F9-E47164DC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323850</xdr:colOff>
      <xdr:row>22</xdr:row>
      <xdr:rowOff>171450</xdr:rowOff>
    </xdr:from>
    <xdr:to>
      <xdr:col>21</xdr:col>
      <xdr:colOff>285749</xdr:colOff>
      <xdr:row>36</xdr:row>
      <xdr:rowOff>114300</xdr:rowOff>
    </xdr:to>
    <xdr:graphicFrame macro="">
      <xdr:nvGraphicFramePr>
        <xdr:cNvPr id="9" name="Chart 8">
          <a:extLst>
            <a:ext uri="{FF2B5EF4-FFF2-40B4-BE49-F238E27FC236}">
              <a16:creationId xmlns:a16="http://schemas.microsoft.com/office/drawing/2014/main" id="{1F29AA42-C8CC-4C4A-9673-C466D1647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393699</xdr:colOff>
      <xdr:row>2</xdr:row>
      <xdr:rowOff>174625</xdr:rowOff>
    </xdr:from>
    <xdr:to>
      <xdr:col>4</xdr:col>
      <xdr:colOff>492125</xdr:colOff>
      <xdr:row>7</xdr:row>
      <xdr:rowOff>31750</xdr:rowOff>
    </xdr:to>
    <xdr:sp macro="" textlink="">
      <xdr:nvSpPr>
        <xdr:cNvPr id="11" name="Rectangle: Rounded Corners 10">
          <a:extLst>
            <a:ext uri="{FF2B5EF4-FFF2-40B4-BE49-F238E27FC236}">
              <a16:creationId xmlns:a16="http://schemas.microsoft.com/office/drawing/2014/main" id="{B157BA4B-8E04-17AB-1D82-E4D0E2B0EF79}"/>
            </a:ext>
          </a:extLst>
        </xdr:cNvPr>
        <xdr:cNvSpPr/>
      </xdr:nvSpPr>
      <xdr:spPr>
        <a:xfrm>
          <a:off x="393699" y="682625"/>
          <a:ext cx="2511426" cy="8096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a:p>
          <a:pPr algn="ctr"/>
          <a:r>
            <a:rPr lang="en-US" sz="2000" b="1"/>
            <a:t>$ </a:t>
          </a:r>
          <a:r>
            <a:rPr lang="en-US" sz="2000" b="1" i="0" u="none" strike="noStrike">
              <a:solidFill>
                <a:schemeClr val="lt1"/>
              </a:solidFill>
              <a:effectLst/>
              <a:latin typeface="+mn-lt"/>
              <a:ea typeface="+mn-ea"/>
              <a:cs typeface="+mn-cs"/>
            </a:rPr>
            <a:t>155329</a:t>
          </a:r>
          <a:r>
            <a:rPr lang="en-US" sz="2000" b="1">
              <a:effectLst/>
            </a:rPr>
            <a:t>  </a:t>
          </a:r>
          <a:r>
            <a:rPr lang="en-US" sz="2000" b="1"/>
            <a:t> </a:t>
          </a:r>
        </a:p>
      </xdr:txBody>
    </xdr:sp>
    <xdr:clientData/>
  </xdr:twoCellAnchor>
  <xdr:twoCellAnchor>
    <xdr:from>
      <xdr:col>6</xdr:col>
      <xdr:colOff>22224</xdr:colOff>
      <xdr:row>2</xdr:row>
      <xdr:rowOff>152399</xdr:rowOff>
    </xdr:from>
    <xdr:to>
      <xdr:col>10</xdr:col>
      <xdr:colOff>126999</xdr:colOff>
      <xdr:row>7</xdr:row>
      <xdr:rowOff>9524</xdr:rowOff>
    </xdr:to>
    <xdr:sp macro="" textlink="">
      <xdr:nvSpPr>
        <xdr:cNvPr id="12" name="Rectangle: Rounded Corners 11">
          <a:extLst>
            <a:ext uri="{FF2B5EF4-FFF2-40B4-BE49-F238E27FC236}">
              <a16:creationId xmlns:a16="http://schemas.microsoft.com/office/drawing/2014/main" id="{9F6BB38E-A01D-4C04-8025-2E95182D166B}"/>
            </a:ext>
          </a:extLst>
        </xdr:cNvPr>
        <xdr:cNvSpPr/>
      </xdr:nvSpPr>
      <xdr:spPr>
        <a:xfrm>
          <a:off x="3641724" y="660399"/>
          <a:ext cx="2517775" cy="8096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effectLst/>
            </a:rPr>
            <a:t>TAX</a:t>
          </a:r>
        </a:p>
        <a:p>
          <a:pPr algn="ctr"/>
          <a:r>
            <a:rPr lang="en-US" sz="2000" b="1">
              <a:effectLst/>
            </a:rPr>
            <a:t>$ </a:t>
          </a:r>
          <a:r>
            <a:rPr lang="en-US" sz="2000" b="1" i="0" u="none" strike="noStrike">
              <a:solidFill>
                <a:schemeClr val="lt1"/>
              </a:solidFill>
              <a:effectLst/>
              <a:latin typeface="+mn-lt"/>
              <a:ea typeface="+mn-ea"/>
              <a:cs typeface="+mn-cs"/>
            </a:rPr>
            <a:t>7397</a:t>
          </a:r>
          <a:r>
            <a:rPr lang="en-US" sz="2000" b="1">
              <a:effectLst/>
            </a:rPr>
            <a:t> </a:t>
          </a:r>
          <a:endParaRPr lang="en-US" sz="2000" b="1"/>
        </a:p>
      </xdr:txBody>
    </xdr:sp>
    <xdr:clientData/>
  </xdr:twoCellAnchor>
  <xdr:twoCellAnchor>
    <xdr:from>
      <xdr:col>11</xdr:col>
      <xdr:colOff>238125</xdr:colOff>
      <xdr:row>2</xdr:row>
      <xdr:rowOff>155574</xdr:rowOff>
    </xdr:from>
    <xdr:to>
      <xdr:col>15</xdr:col>
      <xdr:colOff>390525</xdr:colOff>
      <xdr:row>7</xdr:row>
      <xdr:rowOff>12699</xdr:rowOff>
    </xdr:to>
    <xdr:sp macro="" textlink="">
      <xdr:nvSpPr>
        <xdr:cNvPr id="13" name="Rectangle: Rounded Corners 12">
          <a:extLst>
            <a:ext uri="{FF2B5EF4-FFF2-40B4-BE49-F238E27FC236}">
              <a16:creationId xmlns:a16="http://schemas.microsoft.com/office/drawing/2014/main" id="{D903849D-04BE-4DA7-91EA-1BE325AD5860}"/>
            </a:ext>
          </a:extLst>
        </xdr:cNvPr>
        <xdr:cNvSpPr/>
      </xdr:nvSpPr>
      <xdr:spPr>
        <a:xfrm>
          <a:off x="6873875" y="663574"/>
          <a:ext cx="2565400" cy="8096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effectLst/>
            </a:rPr>
            <a:t>Quantity</a:t>
          </a:r>
        </a:p>
        <a:p>
          <a:pPr algn="ctr"/>
          <a:r>
            <a:rPr lang="en-US" sz="2000" b="1">
              <a:effectLst/>
            </a:rPr>
            <a:t>$ </a:t>
          </a:r>
          <a:r>
            <a:rPr lang="en-US" sz="2000" b="1" i="0" u="none" strike="noStrike">
              <a:solidFill>
                <a:schemeClr val="lt1"/>
              </a:solidFill>
              <a:effectLst/>
              <a:latin typeface="+mn-lt"/>
              <a:ea typeface="+mn-ea"/>
              <a:cs typeface="+mn-cs"/>
            </a:rPr>
            <a:t>138</a:t>
          </a:r>
          <a:r>
            <a:rPr lang="en-US" sz="2000" b="1">
              <a:effectLst/>
            </a:rPr>
            <a:t> </a:t>
          </a:r>
          <a:endParaRPr lang="en-US" sz="2000" b="1"/>
        </a:p>
      </xdr:txBody>
    </xdr:sp>
    <xdr:clientData/>
  </xdr:twoCellAnchor>
  <xdr:twoCellAnchor>
    <xdr:from>
      <xdr:col>16</xdr:col>
      <xdr:colOff>412751</xdr:colOff>
      <xdr:row>2</xdr:row>
      <xdr:rowOff>174624</xdr:rowOff>
    </xdr:from>
    <xdr:to>
      <xdr:col>21</xdr:col>
      <xdr:colOff>15875</xdr:colOff>
      <xdr:row>7</xdr:row>
      <xdr:rowOff>31749</xdr:rowOff>
    </xdr:to>
    <xdr:sp macro="" textlink="">
      <xdr:nvSpPr>
        <xdr:cNvPr id="14" name="Rectangle: Rounded Corners 13">
          <a:extLst>
            <a:ext uri="{FF2B5EF4-FFF2-40B4-BE49-F238E27FC236}">
              <a16:creationId xmlns:a16="http://schemas.microsoft.com/office/drawing/2014/main" id="{BE56D8C1-96EF-42D6-867F-2E0AFA73DABB}"/>
            </a:ext>
          </a:extLst>
        </xdr:cNvPr>
        <xdr:cNvSpPr/>
      </xdr:nvSpPr>
      <xdr:spPr>
        <a:xfrm>
          <a:off x="10064751" y="682624"/>
          <a:ext cx="2619374" cy="8096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effectLst/>
            </a:rPr>
            <a:t>Unit</a:t>
          </a:r>
          <a:r>
            <a:rPr lang="en-US" sz="2000" b="1" baseline="0">
              <a:effectLst/>
            </a:rPr>
            <a:t> Price</a:t>
          </a:r>
        </a:p>
        <a:p>
          <a:pPr algn="ctr"/>
          <a:r>
            <a:rPr lang="en-US" sz="2000" b="1" baseline="0">
              <a:effectLst/>
            </a:rPr>
            <a:t>$ </a:t>
          </a:r>
          <a:r>
            <a:rPr lang="en-US" sz="2000" b="1" i="0" u="none" strike="noStrike">
              <a:solidFill>
                <a:schemeClr val="lt1"/>
              </a:solidFill>
              <a:effectLst/>
              <a:latin typeface="+mn-lt"/>
              <a:ea typeface="+mn-ea"/>
              <a:cs typeface="+mn-cs"/>
            </a:rPr>
            <a:t>54507</a:t>
          </a:r>
          <a:r>
            <a:rPr lang="en-US" sz="2000" b="1">
              <a:effectLst/>
            </a:rPr>
            <a:t> </a:t>
          </a:r>
        </a:p>
      </xdr:txBody>
    </xdr:sp>
    <xdr:clientData/>
  </xdr:twoCellAnchor>
  <xdr:absoluteAnchor>
    <xdr:pos x="13579045" y="903260"/>
    <xdr:ext cx="2984500" cy="1095375"/>
    <mc:AlternateContent xmlns:mc="http://schemas.openxmlformats.org/markup-compatibility/2006">
      <mc:Choice xmlns:sle15="http://schemas.microsoft.com/office/drawing/2012/slicer" Requires="sle15">
        <xdr:graphicFrame macro="">
          <xdr:nvGraphicFramePr>
            <xdr:cNvPr id="20" name="Gender 4">
              <a:extLst>
                <a:ext uri="{FF2B5EF4-FFF2-40B4-BE49-F238E27FC236}">
                  <a16:creationId xmlns:a16="http://schemas.microsoft.com/office/drawing/2014/main" id="{E56D775D-8F53-4DFF-A2E9-CAE868373B19}"/>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13579045" y="903260"/>
              <a:ext cx="2984500" cy="10953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3613032" y="2411386"/>
    <xdr:ext cx="2934368" cy="1031874"/>
    <mc:AlternateContent xmlns:mc="http://schemas.openxmlformats.org/markup-compatibility/2006">
      <mc:Choice xmlns:sle15="http://schemas.microsoft.com/office/drawing/2012/slicer" Requires="sle15">
        <xdr:graphicFrame macro="">
          <xdr:nvGraphicFramePr>
            <xdr:cNvPr id="22" name="Customer Type 2">
              <a:extLst>
                <a:ext uri="{FF2B5EF4-FFF2-40B4-BE49-F238E27FC236}">
                  <a16:creationId xmlns:a16="http://schemas.microsoft.com/office/drawing/2014/main" id="{572E9913-121D-4EC7-8D7B-98D0466D9C24}"/>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dr:sp macro="" textlink="">
          <xdr:nvSpPr>
            <xdr:cNvPr id="0" name=""/>
            <xdr:cNvSpPr>
              <a:spLocks noTextEdit="1"/>
            </xdr:cNvSpPr>
          </xdr:nvSpPr>
          <xdr:spPr>
            <a:xfrm>
              <a:off x="13613032" y="2411386"/>
              <a:ext cx="2934368" cy="10318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3631145" y="3872962"/>
    <xdr:ext cx="2931861" cy="1283369"/>
    <mc:AlternateContent xmlns:mc="http://schemas.openxmlformats.org/markup-compatibility/2006">
      <mc:Choice xmlns:sle15="http://schemas.microsoft.com/office/drawing/2012/slicer" Requires="sle15">
        <xdr:graphicFrame macro="">
          <xdr:nvGraphicFramePr>
            <xdr:cNvPr id="23" name="Payment 1">
              <a:extLst>
                <a:ext uri="{FF2B5EF4-FFF2-40B4-BE49-F238E27FC236}">
                  <a16:creationId xmlns:a16="http://schemas.microsoft.com/office/drawing/2014/main" id="{2C5E32FD-38FB-4EE3-B469-BBA6B2EE6516}"/>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13631145" y="3872962"/>
              <a:ext cx="2931861" cy="1283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3673187" y="5467416"/>
    <xdr:ext cx="2890087" cy="1894973"/>
    <mc:AlternateContent xmlns:mc="http://schemas.openxmlformats.org/markup-compatibility/2006">
      <mc:Choice xmlns:sle15="http://schemas.microsoft.com/office/drawing/2012/slicer" Requires="sle15">
        <xdr:graphicFrame macro="">
          <xdr:nvGraphicFramePr>
            <xdr:cNvPr id="24" name="Product Line 1">
              <a:extLst>
                <a:ext uri="{FF2B5EF4-FFF2-40B4-BE49-F238E27FC236}">
                  <a16:creationId xmlns:a16="http://schemas.microsoft.com/office/drawing/2014/main" id="{7E335230-2A55-4B90-A1B9-80687BB225BA}"/>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13673187" y="5467416"/>
              <a:ext cx="2890087" cy="18949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6979042" y="1877033"/>
    <xdr:ext cx="2898879" cy="2077373"/>
    <mc:AlternateContent xmlns:mc="http://schemas.openxmlformats.org/markup-compatibility/2006">
      <mc:Choice xmlns:sle15="http://schemas.microsoft.com/office/drawing/2012/slicer" Requires="sle15">
        <xdr:graphicFrame macro="">
          <xdr:nvGraphicFramePr>
            <xdr:cNvPr id="25" name="City 1">
              <a:extLst>
                <a:ext uri="{FF2B5EF4-FFF2-40B4-BE49-F238E27FC236}">
                  <a16:creationId xmlns:a16="http://schemas.microsoft.com/office/drawing/2014/main" id="{D31335B7-D17A-4C3A-B5F3-88F24A03CED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979042" y="1877033"/>
              <a:ext cx="2898879" cy="20773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7276656" y="5550588"/>
    <xdr:ext cx="2954821" cy="1704475"/>
    <mc:AlternateContent xmlns:mc="http://schemas.openxmlformats.org/markup-compatibility/2006">
      <mc:Choice xmlns:sle15="http://schemas.microsoft.com/office/drawing/2012/slicer" Requires="sle15">
        <xdr:graphicFrame macro="">
          <xdr:nvGraphicFramePr>
            <xdr:cNvPr id="26" name="Branch 1">
              <a:extLst>
                <a:ext uri="{FF2B5EF4-FFF2-40B4-BE49-F238E27FC236}">
                  <a16:creationId xmlns:a16="http://schemas.microsoft.com/office/drawing/2014/main" id="{F97529F4-16E3-40F8-A0A5-F0F60ACB2E57}"/>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7276656" y="5550588"/>
              <a:ext cx="2954821" cy="17044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7228259" y="3209457"/>
    <xdr:ext cx="2923036" cy="2077373"/>
    <mc:AlternateContent xmlns:mc="http://schemas.openxmlformats.org/markup-compatibility/2006">
      <mc:Choice xmlns:sle15="http://schemas.microsoft.com/office/drawing/2012/slicer" Requires="sle15">
        <xdr:graphicFrame macro="">
          <xdr:nvGraphicFramePr>
            <xdr:cNvPr id="34" name="City 2">
              <a:extLst>
                <a:ext uri="{FF2B5EF4-FFF2-40B4-BE49-F238E27FC236}">
                  <a16:creationId xmlns:a16="http://schemas.microsoft.com/office/drawing/2014/main" id="{F00C0090-B4A7-0926-A67D-F38ED6FE5036}"/>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7228259" y="3209457"/>
              <a:ext cx="2923036" cy="20773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3.xml><?xml version="1.0" encoding="utf-8"?>
<xdr:wsDr xmlns:xdr="http://schemas.openxmlformats.org/drawingml/2006/spreadsheetDrawing" xmlns:a="http://schemas.openxmlformats.org/drawingml/2006/main">
  <xdr:twoCellAnchor>
    <xdr:from>
      <xdr:col>5</xdr:col>
      <xdr:colOff>38100</xdr:colOff>
      <xdr:row>6</xdr:row>
      <xdr:rowOff>171450</xdr:rowOff>
    </xdr:from>
    <xdr:to>
      <xdr:col>11</xdr:col>
      <xdr:colOff>276225</xdr:colOff>
      <xdr:row>21</xdr:row>
      <xdr:rowOff>114300</xdr:rowOff>
    </xdr:to>
    <xdr:graphicFrame macro="">
      <xdr:nvGraphicFramePr>
        <xdr:cNvPr id="2" name="Chart 1">
          <a:extLst>
            <a:ext uri="{FF2B5EF4-FFF2-40B4-BE49-F238E27FC236}">
              <a16:creationId xmlns:a16="http://schemas.microsoft.com/office/drawing/2014/main" id="{70685605-80CC-68AA-E425-2A3C573F9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361950</xdr:colOff>
      <xdr:row>6</xdr:row>
      <xdr:rowOff>47625</xdr:rowOff>
    </xdr:from>
    <xdr:to>
      <xdr:col>10</xdr:col>
      <xdr:colOff>114300</xdr:colOff>
      <xdr:row>19</xdr:row>
      <xdr:rowOff>133351</xdr:rowOff>
    </xdr:to>
    <xdr:graphicFrame macro="">
      <xdr:nvGraphicFramePr>
        <xdr:cNvPr id="2" name="Chart 1">
          <a:extLst>
            <a:ext uri="{FF2B5EF4-FFF2-40B4-BE49-F238E27FC236}">
              <a16:creationId xmlns:a16="http://schemas.microsoft.com/office/drawing/2014/main" id="{864C1F2D-5198-341C-A0D4-4B38DB522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457200</xdr:colOff>
      <xdr:row>6</xdr:row>
      <xdr:rowOff>28575</xdr:rowOff>
    </xdr:from>
    <xdr:to>
      <xdr:col>10</xdr:col>
      <xdr:colOff>152400</xdr:colOff>
      <xdr:row>20</xdr:row>
      <xdr:rowOff>104775</xdr:rowOff>
    </xdr:to>
    <xdr:graphicFrame macro="">
      <xdr:nvGraphicFramePr>
        <xdr:cNvPr id="2" name="Chart 1">
          <a:extLst>
            <a:ext uri="{FF2B5EF4-FFF2-40B4-BE49-F238E27FC236}">
              <a16:creationId xmlns:a16="http://schemas.microsoft.com/office/drawing/2014/main" id="{787E4D3F-E769-18BC-E89B-C15F077E0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6</xdr:row>
      <xdr:rowOff>28575</xdr:rowOff>
    </xdr:from>
    <xdr:to>
      <xdr:col>5</xdr:col>
      <xdr:colOff>1066800</xdr:colOff>
      <xdr:row>20</xdr:row>
      <xdr:rowOff>104775</xdr:rowOff>
    </xdr:to>
    <xdr:graphicFrame macro="">
      <xdr:nvGraphicFramePr>
        <xdr:cNvPr id="4" name="Chart 3">
          <a:extLst>
            <a:ext uri="{FF2B5EF4-FFF2-40B4-BE49-F238E27FC236}">
              <a16:creationId xmlns:a16="http://schemas.microsoft.com/office/drawing/2014/main" id="{0147F82F-FCE8-7715-2B74-815016D84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504825</xdr:colOff>
      <xdr:row>4</xdr:row>
      <xdr:rowOff>114300</xdr:rowOff>
    </xdr:from>
    <xdr:to>
      <xdr:col>10</xdr:col>
      <xdr:colOff>47625</xdr:colOff>
      <xdr:row>21</xdr:row>
      <xdr:rowOff>161926</xdr:rowOff>
    </xdr:to>
    <xdr:graphicFrame macro="">
      <xdr:nvGraphicFramePr>
        <xdr:cNvPr id="2" name="Chart 1">
          <a:extLst>
            <a:ext uri="{FF2B5EF4-FFF2-40B4-BE49-F238E27FC236}">
              <a16:creationId xmlns:a16="http://schemas.microsoft.com/office/drawing/2014/main" id="{91294425-671D-AB62-8A19-8E49D0288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18.490125462966" createdVersion="8" refreshedVersion="8" minRefreshableVersion="3" recordCount="50" xr:uid="{CABA1247-C01E-4C9D-BDB6-90EC05B50A7C}">
  <cacheSource type="worksheet">
    <worksheetSource name="Table2"/>
  </cacheSource>
  <cacheFields count="14">
    <cacheField name="Date" numFmtId="164">
      <sharedItems containsNonDate="0" containsDate="1" containsString="0" containsBlank="1" minDate="2024-01-03T00:00:00" maxDate="2024-02-21T00:00:00" count="50">
        <m/>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sharedItems>
      <fieldGroup par="13"/>
    </cacheField>
    <cacheField name="Invoice ID" numFmtId="0">
      <sharedItems/>
    </cacheField>
    <cacheField name="City" numFmtId="0">
      <sharedItems count="5">
        <s v="Salem"/>
        <s v="Madurai"/>
        <s v="Coimbatore"/>
        <s v="Trichy"/>
        <s v="Chennai"/>
      </sharedItems>
    </cacheField>
    <cacheField name="Branch" numFmtId="0">
      <sharedItems count="3">
        <s v="A"/>
        <s v="B"/>
        <s v="C"/>
      </sharedItems>
    </cacheField>
    <cacheField name="Customer Type" numFmtId="0">
      <sharedItems/>
    </cacheField>
    <cacheField name="Gender" numFmtId="0">
      <sharedItems count="2">
        <s v="Male"/>
        <s v="Female"/>
      </sharedItems>
    </cacheField>
    <cacheField name="Product Line" numFmtId="0">
      <sharedItems count="5">
        <s v="Home and lifestyle"/>
        <s v="Food and beverages"/>
        <s v="Electronic accessories"/>
        <s v="Health and beauty"/>
        <s v="Fashion accessories"/>
      </sharedItems>
    </cacheField>
    <cacheField name="Unit Price" numFmtId="0">
      <sharedItems containsSemiMixedTypes="0" containsString="0" containsNumber="1" containsInteger="1" minValue="210" maxValue="1939"/>
    </cacheField>
    <cacheField name="Quantity" numFmtId="0">
      <sharedItems containsSemiMixedTypes="0" containsString="0" containsNumber="1" containsInteger="1" minValue="1" maxValue="5"/>
    </cacheField>
    <cacheField name="Tax" numFmtId="0">
      <sharedItems containsSemiMixedTypes="0" containsString="0" containsNumber="1" minValue="10.5" maxValue="387.8"/>
    </cacheField>
    <cacheField name="Total" numFmtId="0">
      <sharedItems containsSemiMixedTypes="0" containsString="0" containsNumber="1" minValue="220.5" maxValue="8143.8"/>
    </cacheField>
    <cacheField name="Payment" numFmtId="0">
      <sharedItems count="3">
        <s v="Cash"/>
        <s v="Wallet"/>
        <s v="Card"/>
      </sharedItems>
    </cacheField>
    <cacheField name="Days (Date)" numFmtId="0" databaseField="0">
      <fieldGroup base="0">
        <rangePr groupBy="days" startDate="2024-01-03T00:00:00" endDate="2024-02-21T00:00:00"/>
        <groupItems count="368">
          <s v="&lt;1/3/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1/2024"/>
        </groupItems>
      </fieldGroup>
    </cacheField>
    <cacheField name="Months (Date)" numFmtId="0" databaseField="0">
      <fieldGroup base="0">
        <rangePr groupBy="months" startDate="2024-01-03T00:00:00" endDate="2024-02-21T00:00:00"/>
        <groupItems count="14">
          <s v="&lt;1/3/2024"/>
          <s v="Jan"/>
          <s v="Feb"/>
          <s v="Mar"/>
          <s v="Apr"/>
          <s v="May"/>
          <s v="Jun"/>
          <s v="Jul"/>
          <s v="Aug"/>
          <s v="Sep"/>
          <s v="Oct"/>
          <s v="Nov"/>
          <s v="Dec"/>
          <s v="&gt;2/21/2024"/>
        </groupItems>
      </fieldGroup>
    </cacheField>
  </cacheFields>
  <extLst>
    <ext xmlns:x14="http://schemas.microsoft.com/office/spreadsheetml/2009/9/main" uri="{725AE2AE-9491-48be-B2B4-4EB974FC3084}">
      <x14:pivotCacheDefinition pivotCacheId="18319444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18.511163425923" createdVersion="8" refreshedVersion="8" minRefreshableVersion="3" recordCount="51" xr:uid="{9C28A901-786E-458B-A68B-1EECB54FD9CD}">
  <cacheSource type="worksheet">
    <worksheetSource ref="A1:L1048576" sheet="Sales_Data"/>
  </cacheSource>
  <cacheFields count="12">
    <cacheField name="Date" numFmtId="0">
      <sharedItems containsNonDate="0" containsDate="1" containsString="0" containsBlank="1" minDate="2024-01-03T00:00:00" maxDate="2024-02-21T00:00:00"/>
    </cacheField>
    <cacheField name="Invoice ID" numFmtId="0">
      <sharedItems containsBlank="1"/>
    </cacheField>
    <cacheField name="City" numFmtId="0">
      <sharedItems containsBlank="1" count="6">
        <s v="Salem"/>
        <s v="Madurai"/>
        <s v="Coimbatore"/>
        <s v="Trichy"/>
        <s v="Chennai"/>
        <m/>
      </sharedItems>
    </cacheField>
    <cacheField name="Branch" numFmtId="0">
      <sharedItems containsBlank="1"/>
    </cacheField>
    <cacheField name="Customer Type" numFmtId="0">
      <sharedItems containsBlank="1" count="3">
        <s v="Normal"/>
        <s v="Member"/>
        <m/>
      </sharedItems>
    </cacheField>
    <cacheField name="Gender" numFmtId="0">
      <sharedItems containsBlank="1"/>
    </cacheField>
    <cacheField name="Product Line" numFmtId="0">
      <sharedItems containsBlank="1" count="6">
        <s v="Home and lifestyle"/>
        <s v="Food and beverages"/>
        <s v="Electronic accessories"/>
        <s v="Health and beauty"/>
        <s v="Fashion accessories"/>
        <m/>
      </sharedItems>
    </cacheField>
    <cacheField name="Unit Price" numFmtId="0">
      <sharedItems containsString="0" containsBlank="1" containsNumber="1" containsInteger="1" minValue="210" maxValue="1939"/>
    </cacheField>
    <cacheField name="Quantity" numFmtId="0">
      <sharedItems containsString="0" containsBlank="1" containsNumber="1" containsInteger="1" minValue="1" maxValue="5"/>
    </cacheField>
    <cacheField name="Tax" numFmtId="0">
      <sharedItems containsString="0" containsBlank="1" containsNumber="1" minValue="10.5" maxValue="387.8"/>
    </cacheField>
    <cacheField name="Total" numFmtId="0">
      <sharedItems containsString="0" containsBlank="1" containsNumber="1" minValue="220.5" maxValue="8143.8"/>
    </cacheField>
    <cacheField name="Paym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INV101"/>
    <x v="0"/>
    <x v="0"/>
    <s v="Normal"/>
    <x v="0"/>
    <x v="0"/>
    <n v="1561"/>
    <n v="1"/>
    <n v="78.05"/>
    <n v="1639.05"/>
    <x v="0"/>
  </r>
  <r>
    <x v="1"/>
    <s v="INV102"/>
    <x v="1"/>
    <x v="1"/>
    <s v="Normal"/>
    <x v="0"/>
    <x v="1"/>
    <n v="378"/>
    <n v="3"/>
    <n v="56.7"/>
    <n v="1190.7"/>
    <x v="0"/>
  </r>
  <r>
    <x v="2"/>
    <s v="INV103"/>
    <x v="2"/>
    <x v="2"/>
    <s v="Normal"/>
    <x v="1"/>
    <x v="2"/>
    <n v="1635"/>
    <n v="2"/>
    <n v="163.5"/>
    <n v="3433.5"/>
    <x v="1"/>
  </r>
  <r>
    <x v="3"/>
    <s v="INV104"/>
    <x v="0"/>
    <x v="0"/>
    <s v="Member"/>
    <x v="1"/>
    <x v="1"/>
    <n v="956"/>
    <n v="5"/>
    <n v="239"/>
    <n v="5019"/>
    <x v="1"/>
  </r>
  <r>
    <x v="4"/>
    <s v="INV105"/>
    <x v="3"/>
    <x v="0"/>
    <s v="Member"/>
    <x v="1"/>
    <x v="1"/>
    <n v="1375"/>
    <n v="4"/>
    <n v="275"/>
    <n v="5775"/>
    <x v="1"/>
  </r>
  <r>
    <x v="5"/>
    <s v="INV106"/>
    <x v="0"/>
    <x v="2"/>
    <s v="Normal"/>
    <x v="1"/>
    <x v="0"/>
    <n v="373"/>
    <n v="5"/>
    <n v="93.25"/>
    <n v="1958.25"/>
    <x v="1"/>
  </r>
  <r>
    <x v="6"/>
    <s v="INV107"/>
    <x v="0"/>
    <x v="0"/>
    <s v="Member"/>
    <x v="0"/>
    <x v="1"/>
    <n v="1408"/>
    <n v="1"/>
    <n v="70.400000000000006"/>
    <n v="1478.4"/>
    <x v="1"/>
  </r>
  <r>
    <x v="7"/>
    <s v="INV108"/>
    <x v="3"/>
    <x v="1"/>
    <s v="Member"/>
    <x v="0"/>
    <x v="1"/>
    <n v="936"/>
    <n v="4"/>
    <n v="187.2"/>
    <n v="3931.2"/>
    <x v="1"/>
  </r>
  <r>
    <x v="8"/>
    <s v="INV109"/>
    <x v="4"/>
    <x v="2"/>
    <s v="Normal"/>
    <x v="0"/>
    <x v="1"/>
    <n v="1207"/>
    <n v="2"/>
    <n v="120.7"/>
    <n v="2534.6999999999998"/>
    <x v="2"/>
  </r>
  <r>
    <x v="9"/>
    <s v="INV110"/>
    <x v="4"/>
    <x v="1"/>
    <s v="Member"/>
    <x v="0"/>
    <x v="2"/>
    <n v="952"/>
    <n v="2"/>
    <n v="95.2"/>
    <n v="1999.2"/>
    <x v="2"/>
  </r>
  <r>
    <x v="10"/>
    <s v="INV111"/>
    <x v="1"/>
    <x v="2"/>
    <s v="Normal"/>
    <x v="0"/>
    <x v="2"/>
    <n v="1128"/>
    <n v="4"/>
    <n v="225.6"/>
    <n v="4737.6000000000004"/>
    <x v="1"/>
  </r>
  <r>
    <x v="11"/>
    <s v="INV112"/>
    <x v="4"/>
    <x v="1"/>
    <s v="Member"/>
    <x v="0"/>
    <x v="2"/>
    <n v="1785"/>
    <n v="3"/>
    <n v="267.75"/>
    <n v="5622.75"/>
    <x v="1"/>
  </r>
  <r>
    <x v="12"/>
    <s v="INV113"/>
    <x v="3"/>
    <x v="1"/>
    <s v="Normal"/>
    <x v="1"/>
    <x v="2"/>
    <n v="859"/>
    <n v="5"/>
    <n v="214.75"/>
    <n v="4509.75"/>
    <x v="2"/>
  </r>
  <r>
    <x v="13"/>
    <s v="INV114"/>
    <x v="2"/>
    <x v="1"/>
    <s v="Normal"/>
    <x v="0"/>
    <x v="1"/>
    <n v="484"/>
    <n v="3"/>
    <n v="72.599999999999994"/>
    <n v="1524.6"/>
    <x v="2"/>
  </r>
  <r>
    <x v="14"/>
    <s v="INV115"/>
    <x v="4"/>
    <x v="1"/>
    <s v="Member"/>
    <x v="1"/>
    <x v="2"/>
    <n v="1418"/>
    <n v="1"/>
    <n v="70.900000000000006"/>
    <n v="1488.9"/>
    <x v="1"/>
  </r>
  <r>
    <x v="15"/>
    <s v="INV116"/>
    <x v="1"/>
    <x v="1"/>
    <s v="Normal"/>
    <x v="0"/>
    <x v="3"/>
    <n v="248"/>
    <n v="3"/>
    <n v="37.200000000000003"/>
    <n v="781.2"/>
    <x v="0"/>
  </r>
  <r>
    <x v="16"/>
    <s v="INV117"/>
    <x v="4"/>
    <x v="1"/>
    <s v="Normal"/>
    <x v="1"/>
    <x v="2"/>
    <n v="211"/>
    <n v="1"/>
    <n v="10.55"/>
    <n v="221.55"/>
    <x v="2"/>
  </r>
  <r>
    <x v="17"/>
    <s v="INV118"/>
    <x v="2"/>
    <x v="1"/>
    <s v="Member"/>
    <x v="0"/>
    <x v="4"/>
    <n v="1171"/>
    <n v="2"/>
    <n v="117.1"/>
    <n v="2459.1"/>
    <x v="2"/>
  </r>
  <r>
    <x v="18"/>
    <s v="INV119"/>
    <x v="1"/>
    <x v="0"/>
    <s v="Normal"/>
    <x v="0"/>
    <x v="3"/>
    <n v="370"/>
    <n v="3"/>
    <n v="55.5"/>
    <n v="1165.5"/>
    <x v="1"/>
  </r>
  <r>
    <x v="19"/>
    <s v="INV120"/>
    <x v="1"/>
    <x v="2"/>
    <s v="Normal"/>
    <x v="1"/>
    <x v="2"/>
    <n v="523"/>
    <n v="2"/>
    <n v="52.3"/>
    <n v="1098.3"/>
    <x v="0"/>
  </r>
  <r>
    <x v="20"/>
    <s v="INV121"/>
    <x v="1"/>
    <x v="2"/>
    <s v="Normal"/>
    <x v="0"/>
    <x v="0"/>
    <n v="211"/>
    <n v="3"/>
    <n v="31.65"/>
    <n v="664.65"/>
    <x v="0"/>
  </r>
  <r>
    <x v="21"/>
    <s v="INV122"/>
    <x v="1"/>
    <x v="1"/>
    <s v="Normal"/>
    <x v="0"/>
    <x v="3"/>
    <n v="1488"/>
    <n v="1"/>
    <n v="74.400000000000006"/>
    <n v="1562.4"/>
    <x v="2"/>
  </r>
  <r>
    <x v="22"/>
    <s v="INV123"/>
    <x v="0"/>
    <x v="1"/>
    <s v="Member"/>
    <x v="1"/>
    <x v="0"/>
    <n v="228"/>
    <n v="1"/>
    <n v="11.4"/>
    <n v="239.4"/>
    <x v="2"/>
  </r>
  <r>
    <x v="23"/>
    <s v="INV124"/>
    <x v="4"/>
    <x v="1"/>
    <s v="Normal"/>
    <x v="1"/>
    <x v="1"/>
    <n v="1505"/>
    <n v="5"/>
    <n v="376.25"/>
    <n v="7901.25"/>
    <x v="1"/>
  </r>
  <r>
    <x v="24"/>
    <s v="INV125"/>
    <x v="3"/>
    <x v="1"/>
    <s v="Normal"/>
    <x v="0"/>
    <x v="4"/>
    <n v="726"/>
    <n v="4"/>
    <n v="145.19999999999999"/>
    <n v="3049.2"/>
    <x v="0"/>
  </r>
  <r>
    <x v="25"/>
    <s v="INV126"/>
    <x v="3"/>
    <x v="0"/>
    <s v="Member"/>
    <x v="0"/>
    <x v="4"/>
    <n v="1627"/>
    <n v="2"/>
    <n v="162.69999999999999"/>
    <n v="3416.7"/>
    <x v="1"/>
  </r>
  <r>
    <x v="26"/>
    <s v="INV127"/>
    <x v="0"/>
    <x v="1"/>
    <s v="Member"/>
    <x v="0"/>
    <x v="2"/>
    <n v="1939"/>
    <n v="4"/>
    <n v="387.8"/>
    <n v="8143.8"/>
    <x v="2"/>
  </r>
  <r>
    <x v="27"/>
    <s v="INV128"/>
    <x v="2"/>
    <x v="2"/>
    <s v="Normal"/>
    <x v="1"/>
    <x v="4"/>
    <n v="1310"/>
    <n v="4"/>
    <n v="262"/>
    <n v="5502"/>
    <x v="1"/>
  </r>
  <r>
    <x v="28"/>
    <s v="INV129"/>
    <x v="2"/>
    <x v="1"/>
    <s v="Member"/>
    <x v="0"/>
    <x v="2"/>
    <n v="1510"/>
    <n v="1"/>
    <n v="75.5"/>
    <n v="1585.5"/>
    <x v="2"/>
  </r>
  <r>
    <x v="29"/>
    <s v="INV130"/>
    <x v="0"/>
    <x v="2"/>
    <s v="Normal"/>
    <x v="0"/>
    <x v="4"/>
    <n v="664"/>
    <n v="2"/>
    <n v="66.400000000000006"/>
    <n v="1394.4"/>
    <x v="0"/>
  </r>
  <r>
    <x v="30"/>
    <s v="INV131"/>
    <x v="3"/>
    <x v="0"/>
    <s v="Normal"/>
    <x v="1"/>
    <x v="4"/>
    <n v="532"/>
    <n v="2"/>
    <n v="53.2"/>
    <n v="1117.2"/>
    <x v="1"/>
  </r>
  <r>
    <x v="31"/>
    <s v="INV132"/>
    <x v="3"/>
    <x v="1"/>
    <s v="Normal"/>
    <x v="0"/>
    <x v="0"/>
    <n v="1797"/>
    <n v="2"/>
    <n v="179.7"/>
    <n v="3773.7"/>
    <x v="1"/>
  </r>
  <r>
    <x v="32"/>
    <s v="INV133"/>
    <x v="2"/>
    <x v="2"/>
    <s v="Normal"/>
    <x v="0"/>
    <x v="2"/>
    <n v="1422"/>
    <n v="4"/>
    <n v="284.39999999999998"/>
    <n v="5972.4"/>
    <x v="1"/>
  </r>
  <r>
    <x v="33"/>
    <s v="INV134"/>
    <x v="0"/>
    <x v="1"/>
    <s v="Normal"/>
    <x v="0"/>
    <x v="2"/>
    <n v="711"/>
    <n v="1"/>
    <n v="35.549999999999997"/>
    <n v="746.55"/>
    <x v="1"/>
  </r>
  <r>
    <x v="34"/>
    <s v="INV135"/>
    <x v="1"/>
    <x v="0"/>
    <s v="Normal"/>
    <x v="1"/>
    <x v="4"/>
    <n v="1152"/>
    <n v="4"/>
    <n v="230.4"/>
    <n v="4838.3999999999996"/>
    <x v="2"/>
  </r>
  <r>
    <x v="35"/>
    <s v="INV136"/>
    <x v="3"/>
    <x v="1"/>
    <s v="Member"/>
    <x v="1"/>
    <x v="0"/>
    <n v="668"/>
    <n v="4"/>
    <n v="133.6"/>
    <n v="2805.6"/>
    <x v="1"/>
  </r>
  <r>
    <x v="36"/>
    <s v="INV137"/>
    <x v="3"/>
    <x v="1"/>
    <s v="Normal"/>
    <x v="1"/>
    <x v="3"/>
    <n v="693"/>
    <n v="2"/>
    <n v="69.3"/>
    <n v="1455.3"/>
    <x v="1"/>
  </r>
  <r>
    <x v="37"/>
    <s v="INV138"/>
    <x v="4"/>
    <x v="1"/>
    <s v="Normal"/>
    <x v="1"/>
    <x v="4"/>
    <n v="1397"/>
    <n v="2"/>
    <n v="139.69999999999999"/>
    <n v="2933.7"/>
    <x v="0"/>
  </r>
  <r>
    <x v="38"/>
    <s v="INV139"/>
    <x v="2"/>
    <x v="2"/>
    <s v="Member"/>
    <x v="0"/>
    <x v="2"/>
    <n v="1860"/>
    <n v="3"/>
    <n v="279"/>
    <n v="5859"/>
    <x v="0"/>
  </r>
  <r>
    <x v="39"/>
    <s v="INV140"/>
    <x v="0"/>
    <x v="1"/>
    <s v="Normal"/>
    <x v="0"/>
    <x v="0"/>
    <n v="1246"/>
    <n v="1"/>
    <n v="62.3"/>
    <n v="1308.3"/>
    <x v="0"/>
  </r>
  <r>
    <x v="40"/>
    <s v="INV141"/>
    <x v="0"/>
    <x v="1"/>
    <s v="Member"/>
    <x v="0"/>
    <x v="0"/>
    <n v="1929"/>
    <n v="4"/>
    <n v="385.8"/>
    <n v="8101.8"/>
    <x v="0"/>
  </r>
  <r>
    <x v="41"/>
    <s v="INV142"/>
    <x v="1"/>
    <x v="1"/>
    <s v="Normal"/>
    <x v="1"/>
    <x v="1"/>
    <n v="1488"/>
    <n v="3"/>
    <n v="223.2"/>
    <n v="4687.2"/>
    <x v="0"/>
  </r>
  <r>
    <x v="42"/>
    <s v="INV143"/>
    <x v="2"/>
    <x v="1"/>
    <s v="Normal"/>
    <x v="1"/>
    <x v="3"/>
    <n v="1738"/>
    <n v="2"/>
    <n v="173.8"/>
    <n v="3649.8"/>
    <x v="2"/>
  </r>
  <r>
    <x v="43"/>
    <s v="INV144"/>
    <x v="0"/>
    <x v="0"/>
    <s v="Normal"/>
    <x v="0"/>
    <x v="0"/>
    <n v="1852"/>
    <n v="1"/>
    <n v="92.6"/>
    <n v="1944.6"/>
    <x v="0"/>
  </r>
  <r>
    <x v="44"/>
    <s v="INV145"/>
    <x v="3"/>
    <x v="0"/>
    <s v="Member"/>
    <x v="1"/>
    <x v="0"/>
    <n v="1132"/>
    <n v="5"/>
    <n v="283"/>
    <n v="5943"/>
    <x v="1"/>
  </r>
  <r>
    <x v="45"/>
    <s v="INV146"/>
    <x v="0"/>
    <x v="1"/>
    <s v="Member"/>
    <x v="0"/>
    <x v="4"/>
    <n v="1009"/>
    <n v="5"/>
    <n v="252.25"/>
    <n v="5297.25"/>
    <x v="2"/>
  </r>
  <r>
    <x v="46"/>
    <s v="INV147"/>
    <x v="1"/>
    <x v="1"/>
    <s v="Member"/>
    <x v="1"/>
    <x v="1"/>
    <n v="210"/>
    <n v="1"/>
    <n v="10.5"/>
    <n v="220.5"/>
    <x v="1"/>
  </r>
  <r>
    <x v="47"/>
    <s v="INV148"/>
    <x v="2"/>
    <x v="2"/>
    <s v="Normal"/>
    <x v="1"/>
    <x v="4"/>
    <n v="1500"/>
    <n v="2"/>
    <n v="150"/>
    <n v="3150"/>
    <x v="2"/>
  </r>
  <r>
    <x v="48"/>
    <s v="INV149"/>
    <x v="2"/>
    <x v="1"/>
    <s v="Member"/>
    <x v="1"/>
    <x v="2"/>
    <n v="942"/>
    <n v="5"/>
    <n v="235.5"/>
    <n v="4945.5"/>
    <x v="0"/>
  </r>
  <r>
    <x v="49"/>
    <s v="INV150"/>
    <x v="0"/>
    <x v="0"/>
    <s v="Normal"/>
    <x v="0"/>
    <x v="2"/>
    <n v="1043"/>
    <n v="2"/>
    <n v="104.3"/>
    <n v="2190.300000000000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m/>
    <s v="INV101"/>
    <x v="0"/>
    <s v="A"/>
    <x v="0"/>
    <s v="Male"/>
    <x v="0"/>
    <n v="1561"/>
    <n v="1"/>
    <n v="78.05"/>
    <n v="1639.05"/>
    <s v="Cash"/>
  </r>
  <r>
    <d v="2024-01-03T00:00:00"/>
    <s v="INV102"/>
    <x v="1"/>
    <s v="B"/>
    <x v="0"/>
    <s v="Male"/>
    <x v="1"/>
    <n v="378"/>
    <n v="3"/>
    <n v="56.7"/>
    <n v="1190.7"/>
    <s v="Cash"/>
  </r>
  <r>
    <d v="2024-01-04T00:00:00"/>
    <s v="INV103"/>
    <x v="2"/>
    <s v="C"/>
    <x v="0"/>
    <s v="Female"/>
    <x v="2"/>
    <n v="1635"/>
    <n v="2"/>
    <n v="163.5"/>
    <n v="3433.5"/>
    <s v="Wallet"/>
  </r>
  <r>
    <d v="2024-01-05T00:00:00"/>
    <s v="INV104"/>
    <x v="0"/>
    <s v="A"/>
    <x v="1"/>
    <s v="Female"/>
    <x v="1"/>
    <n v="956"/>
    <n v="5"/>
    <n v="239"/>
    <n v="5019"/>
    <s v="Wallet"/>
  </r>
  <r>
    <d v="2024-01-06T00:00:00"/>
    <s v="INV105"/>
    <x v="3"/>
    <s v="A"/>
    <x v="1"/>
    <s v="Female"/>
    <x v="1"/>
    <n v="1375"/>
    <n v="4"/>
    <n v="275"/>
    <n v="5775"/>
    <s v="Wallet"/>
  </r>
  <r>
    <d v="2024-01-07T00:00:00"/>
    <s v="INV106"/>
    <x v="0"/>
    <s v="C"/>
    <x v="0"/>
    <s v="Female"/>
    <x v="0"/>
    <n v="373"/>
    <n v="5"/>
    <n v="93.25"/>
    <n v="1958.25"/>
    <s v="Wallet"/>
  </r>
  <r>
    <d v="2024-01-08T00:00:00"/>
    <s v="INV107"/>
    <x v="0"/>
    <s v="A"/>
    <x v="1"/>
    <s v="Male"/>
    <x v="1"/>
    <n v="1408"/>
    <n v="1"/>
    <n v="70.400000000000006"/>
    <n v="1478.4"/>
    <s v="Wallet"/>
  </r>
  <r>
    <d v="2024-01-09T00:00:00"/>
    <s v="INV108"/>
    <x v="3"/>
    <s v="B"/>
    <x v="1"/>
    <s v="Male"/>
    <x v="1"/>
    <n v="936"/>
    <n v="4"/>
    <n v="187.2"/>
    <n v="3931.2"/>
    <s v="Wallet"/>
  </r>
  <r>
    <d v="2024-01-10T00:00:00"/>
    <s v="INV109"/>
    <x v="4"/>
    <s v="C"/>
    <x v="0"/>
    <s v="Male"/>
    <x v="1"/>
    <n v="1207"/>
    <n v="2"/>
    <n v="120.7"/>
    <n v="2534.6999999999998"/>
    <s v="Card"/>
  </r>
  <r>
    <d v="2024-01-11T00:00:00"/>
    <s v="INV110"/>
    <x v="4"/>
    <s v="B"/>
    <x v="1"/>
    <s v="Male"/>
    <x v="2"/>
    <n v="952"/>
    <n v="2"/>
    <n v="95.2"/>
    <n v="1999.2"/>
    <s v="Card"/>
  </r>
  <r>
    <d v="2024-01-12T00:00:00"/>
    <s v="INV111"/>
    <x v="1"/>
    <s v="C"/>
    <x v="0"/>
    <s v="Male"/>
    <x v="2"/>
    <n v="1128"/>
    <n v="4"/>
    <n v="225.6"/>
    <n v="4737.6000000000004"/>
    <s v="Wallet"/>
  </r>
  <r>
    <d v="2024-01-13T00:00:00"/>
    <s v="INV112"/>
    <x v="4"/>
    <s v="B"/>
    <x v="1"/>
    <s v="Male"/>
    <x v="2"/>
    <n v="1785"/>
    <n v="3"/>
    <n v="267.75"/>
    <n v="5622.75"/>
    <s v="Wallet"/>
  </r>
  <r>
    <d v="2024-01-14T00:00:00"/>
    <s v="INV113"/>
    <x v="3"/>
    <s v="B"/>
    <x v="0"/>
    <s v="Female"/>
    <x v="2"/>
    <n v="859"/>
    <n v="5"/>
    <n v="214.75"/>
    <n v="4509.75"/>
    <s v="Card"/>
  </r>
  <r>
    <d v="2024-01-15T00:00:00"/>
    <s v="INV114"/>
    <x v="2"/>
    <s v="B"/>
    <x v="0"/>
    <s v="Male"/>
    <x v="1"/>
    <n v="484"/>
    <n v="3"/>
    <n v="72.599999999999994"/>
    <n v="1524.6"/>
    <s v="Card"/>
  </r>
  <r>
    <d v="2024-01-16T00:00:00"/>
    <s v="INV115"/>
    <x v="4"/>
    <s v="B"/>
    <x v="1"/>
    <s v="Female"/>
    <x v="2"/>
    <n v="1418"/>
    <n v="1"/>
    <n v="70.900000000000006"/>
    <n v="1488.9"/>
    <s v="Wallet"/>
  </r>
  <r>
    <d v="2024-01-17T00:00:00"/>
    <s v="INV116"/>
    <x v="1"/>
    <s v="B"/>
    <x v="0"/>
    <s v="Male"/>
    <x v="3"/>
    <n v="248"/>
    <n v="3"/>
    <n v="37.200000000000003"/>
    <n v="781.2"/>
    <s v="Cash"/>
  </r>
  <r>
    <d v="2024-01-18T00:00:00"/>
    <s v="INV117"/>
    <x v="4"/>
    <s v="B"/>
    <x v="0"/>
    <s v="Female"/>
    <x v="2"/>
    <n v="211"/>
    <n v="1"/>
    <n v="10.55"/>
    <n v="221.55"/>
    <s v="Card"/>
  </r>
  <r>
    <d v="2024-01-19T00:00:00"/>
    <s v="INV118"/>
    <x v="2"/>
    <s v="B"/>
    <x v="1"/>
    <s v="Male"/>
    <x v="4"/>
    <n v="1171"/>
    <n v="2"/>
    <n v="117.1"/>
    <n v="2459.1"/>
    <s v="Card"/>
  </r>
  <r>
    <d v="2024-01-20T00:00:00"/>
    <s v="INV119"/>
    <x v="1"/>
    <s v="A"/>
    <x v="0"/>
    <s v="Male"/>
    <x v="3"/>
    <n v="370"/>
    <n v="3"/>
    <n v="55.5"/>
    <n v="1165.5"/>
    <s v="Wallet"/>
  </r>
  <r>
    <d v="2024-01-21T00:00:00"/>
    <s v="INV120"/>
    <x v="1"/>
    <s v="C"/>
    <x v="0"/>
    <s v="Female"/>
    <x v="2"/>
    <n v="523"/>
    <n v="2"/>
    <n v="52.3"/>
    <n v="1098.3"/>
    <s v="Cash"/>
  </r>
  <r>
    <d v="2024-01-22T00:00:00"/>
    <s v="INV121"/>
    <x v="1"/>
    <s v="C"/>
    <x v="0"/>
    <s v="Male"/>
    <x v="0"/>
    <n v="211"/>
    <n v="3"/>
    <n v="31.65"/>
    <n v="664.65"/>
    <s v="Cash"/>
  </r>
  <r>
    <d v="2024-01-23T00:00:00"/>
    <s v="INV122"/>
    <x v="1"/>
    <s v="B"/>
    <x v="0"/>
    <s v="Male"/>
    <x v="3"/>
    <n v="1488"/>
    <n v="1"/>
    <n v="74.400000000000006"/>
    <n v="1562.4"/>
    <s v="Card"/>
  </r>
  <r>
    <d v="2024-01-24T00:00:00"/>
    <s v="INV123"/>
    <x v="0"/>
    <s v="B"/>
    <x v="1"/>
    <s v="Female"/>
    <x v="0"/>
    <n v="228"/>
    <n v="1"/>
    <n v="11.4"/>
    <n v="239.4"/>
    <s v="Card"/>
  </r>
  <r>
    <d v="2024-01-25T00:00:00"/>
    <s v="INV124"/>
    <x v="4"/>
    <s v="B"/>
    <x v="0"/>
    <s v="Female"/>
    <x v="1"/>
    <n v="1505"/>
    <n v="5"/>
    <n v="376.25"/>
    <n v="7901.25"/>
    <s v="Wallet"/>
  </r>
  <r>
    <d v="2024-01-26T00:00:00"/>
    <s v="INV125"/>
    <x v="3"/>
    <s v="B"/>
    <x v="0"/>
    <s v="Male"/>
    <x v="4"/>
    <n v="726"/>
    <n v="4"/>
    <n v="145.19999999999999"/>
    <n v="3049.2"/>
    <s v="Cash"/>
  </r>
  <r>
    <d v="2024-01-27T00:00:00"/>
    <s v="INV126"/>
    <x v="3"/>
    <s v="A"/>
    <x v="1"/>
    <s v="Male"/>
    <x v="4"/>
    <n v="1627"/>
    <n v="2"/>
    <n v="162.69999999999999"/>
    <n v="3416.7"/>
    <s v="Wallet"/>
  </r>
  <r>
    <d v="2024-01-28T00:00:00"/>
    <s v="INV127"/>
    <x v="0"/>
    <s v="B"/>
    <x v="1"/>
    <s v="Male"/>
    <x v="2"/>
    <n v="1939"/>
    <n v="4"/>
    <n v="387.8"/>
    <n v="8143.8"/>
    <s v="Card"/>
  </r>
  <r>
    <d v="2024-01-29T00:00:00"/>
    <s v="INV128"/>
    <x v="2"/>
    <s v="C"/>
    <x v="0"/>
    <s v="Female"/>
    <x v="4"/>
    <n v="1310"/>
    <n v="4"/>
    <n v="262"/>
    <n v="5502"/>
    <s v="Wallet"/>
  </r>
  <r>
    <d v="2024-01-30T00:00:00"/>
    <s v="INV129"/>
    <x v="2"/>
    <s v="B"/>
    <x v="1"/>
    <s v="Male"/>
    <x v="2"/>
    <n v="1510"/>
    <n v="1"/>
    <n v="75.5"/>
    <n v="1585.5"/>
    <s v="Card"/>
  </r>
  <r>
    <d v="2024-01-31T00:00:00"/>
    <s v="INV130"/>
    <x v="0"/>
    <s v="C"/>
    <x v="0"/>
    <s v="Male"/>
    <x v="4"/>
    <n v="664"/>
    <n v="2"/>
    <n v="66.400000000000006"/>
    <n v="1394.4"/>
    <s v="Cash"/>
  </r>
  <r>
    <d v="2024-02-01T00:00:00"/>
    <s v="INV131"/>
    <x v="3"/>
    <s v="A"/>
    <x v="0"/>
    <s v="Female"/>
    <x v="4"/>
    <n v="532"/>
    <n v="2"/>
    <n v="53.2"/>
    <n v="1117.2"/>
    <s v="Wallet"/>
  </r>
  <r>
    <d v="2024-02-02T00:00:00"/>
    <s v="INV132"/>
    <x v="3"/>
    <s v="B"/>
    <x v="0"/>
    <s v="Male"/>
    <x v="0"/>
    <n v="1797"/>
    <n v="2"/>
    <n v="179.7"/>
    <n v="3773.7"/>
    <s v="Wallet"/>
  </r>
  <r>
    <d v="2024-02-03T00:00:00"/>
    <s v="INV133"/>
    <x v="2"/>
    <s v="C"/>
    <x v="0"/>
    <s v="Male"/>
    <x v="2"/>
    <n v="1422"/>
    <n v="4"/>
    <n v="284.39999999999998"/>
    <n v="5972.4"/>
    <s v="Wallet"/>
  </r>
  <r>
    <d v="2024-02-04T00:00:00"/>
    <s v="INV134"/>
    <x v="0"/>
    <s v="B"/>
    <x v="0"/>
    <s v="Male"/>
    <x v="2"/>
    <n v="711"/>
    <n v="1"/>
    <n v="35.549999999999997"/>
    <n v="746.55"/>
    <s v="Wallet"/>
  </r>
  <r>
    <d v="2024-02-05T00:00:00"/>
    <s v="INV135"/>
    <x v="1"/>
    <s v="A"/>
    <x v="0"/>
    <s v="Female"/>
    <x v="4"/>
    <n v="1152"/>
    <n v="4"/>
    <n v="230.4"/>
    <n v="4838.3999999999996"/>
    <s v="Card"/>
  </r>
  <r>
    <d v="2024-02-06T00:00:00"/>
    <s v="INV136"/>
    <x v="3"/>
    <s v="B"/>
    <x v="1"/>
    <s v="Female"/>
    <x v="0"/>
    <n v="668"/>
    <n v="4"/>
    <n v="133.6"/>
    <n v="2805.6"/>
    <s v="Wallet"/>
  </r>
  <r>
    <d v="2024-02-07T00:00:00"/>
    <s v="INV137"/>
    <x v="3"/>
    <s v="B"/>
    <x v="0"/>
    <s v="Female"/>
    <x v="3"/>
    <n v="693"/>
    <n v="2"/>
    <n v="69.3"/>
    <n v="1455.3"/>
    <s v="Wallet"/>
  </r>
  <r>
    <d v="2024-02-08T00:00:00"/>
    <s v="INV138"/>
    <x v="4"/>
    <s v="B"/>
    <x v="0"/>
    <s v="Female"/>
    <x v="4"/>
    <n v="1397"/>
    <n v="2"/>
    <n v="139.69999999999999"/>
    <n v="2933.7"/>
    <s v="Cash"/>
  </r>
  <r>
    <d v="2024-02-09T00:00:00"/>
    <s v="INV139"/>
    <x v="2"/>
    <s v="C"/>
    <x v="1"/>
    <s v="Male"/>
    <x v="2"/>
    <n v="1860"/>
    <n v="3"/>
    <n v="279"/>
    <n v="5859"/>
    <s v="Cash"/>
  </r>
  <r>
    <d v="2024-02-10T00:00:00"/>
    <s v="INV140"/>
    <x v="0"/>
    <s v="B"/>
    <x v="0"/>
    <s v="Male"/>
    <x v="0"/>
    <n v="1246"/>
    <n v="1"/>
    <n v="62.3"/>
    <n v="1308.3"/>
    <s v="Cash"/>
  </r>
  <r>
    <d v="2024-02-11T00:00:00"/>
    <s v="INV141"/>
    <x v="0"/>
    <s v="B"/>
    <x v="1"/>
    <s v="Male"/>
    <x v="0"/>
    <n v="1929"/>
    <n v="4"/>
    <n v="385.8"/>
    <n v="8101.8"/>
    <s v="Cash"/>
  </r>
  <r>
    <d v="2024-02-12T00:00:00"/>
    <s v="INV142"/>
    <x v="1"/>
    <s v="B"/>
    <x v="0"/>
    <s v="Female"/>
    <x v="1"/>
    <n v="1488"/>
    <n v="3"/>
    <n v="223.2"/>
    <n v="4687.2"/>
    <s v="Cash"/>
  </r>
  <r>
    <d v="2024-02-13T00:00:00"/>
    <s v="INV143"/>
    <x v="2"/>
    <s v="B"/>
    <x v="0"/>
    <s v="Female"/>
    <x v="3"/>
    <n v="1738"/>
    <n v="2"/>
    <n v="173.8"/>
    <n v="3649.8"/>
    <s v="Card"/>
  </r>
  <r>
    <d v="2024-02-14T00:00:00"/>
    <s v="INV144"/>
    <x v="0"/>
    <s v="A"/>
    <x v="0"/>
    <s v="Male"/>
    <x v="0"/>
    <n v="1852"/>
    <n v="1"/>
    <n v="92.6"/>
    <n v="1944.6"/>
    <s v="Cash"/>
  </r>
  <r>
    <d v="2024-02-15T00:00:00"/>
    <s v="INV145"/>
    <x v="3"/>
    <s v="A"/>
    <x v="1"/>
    <s v="Female"/>
    <x v="0"/>
    <n v="1132"/>
    <n v="5"/>
    <n v="283"/>
    <n v="5943"/>
    <s v="Wallet"/>
  </r>
  <r>
    <d v="2024-02-16T00:00:00"/>
    <s v="INV146"/>
    <x v="0"/>
    <s v="B"/>
    <x v="1"/>
    <s v="Male"/>
    <x v="4"/>
    <n v="1009"/>
    <n v="5"/>
    <n v="252.25"/>
    <n v="5297.25"/>
    <s v="Card"/>
  </r>
  <r>
    <d v="2024-02-17T00:00:00"/>
    <s v="INV147"/>
    <x v="1"/>
    <s v="B"/>
    <x v="1"/>
    <s v="Female"/>
    <x v="1"/>
    <n v="210"/>
    <n v="1"/>
    <n v="10.5"/>
    <n v="220.5"/>
    <s v="Wallet"/>
  </r>
  <r>
    <d v="2024-02-18T00:00:00"/>
    <s v="INV148"/>
    <x v="2"/>
    <s v="C"/>
    <x v="0"/>
    <s v="Female"/>
    <x v="4"/>
    <n v="1500"/>
    <n v="2"/>
    <n v="150"/>
    <n v="3150"/>
    <s v="Card"/>
  </r>
  <r>
    <d v="2024-02-19T00:00:00"/>
    <s v="INV149"/>
    <x v="2"/>
    <s v="B"/>
    <x v="1"/>
    <s v="Female"/>
    <x v="2"/>
    <n v="942"/>
    <n v="5"/>
    <n v="235.5"/>
    <n v="4945.5"/>
    <s v="Cash"/>
  </r>
  <r>
    <d v="2024-02-20T00:00:00"/>
    <s v="INV150"/>
    <x v="0"/>
    <s v="A"/>
    <x v="0"/>
    <s v="Male"/>
    <x v="2"/>
    <n v="1043"/>
    <n v="2"/>
    <n v="104.3"/>
    <n v="2190.3000000000002"/>
    <s v="Wallet"/>
  </r>
  <r>
    <m/>
    <m/>
    <x v="5"/>
    <m/>
    <x v="2"/>
    <m/>
    <x v="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AFF373-C201-4645-92BB-A2EA1AA449C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
  <location ref="A3:D9" firstHeaderRow="0" firstDataRow="1" firstDataCol="1"/>
  <pivotFields count="14">
    <pivotField showAll="0" defaultSubtotal="0">
      <items count="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0"/>
      </items>
    </pivotField>
    <pivotField showAll="0" defaultSubtotal="0"/>
    <pivotField showAll="0" defaultSubtotal="0">
      <items count="5">
        <item x="4"/>
        <item x="2"/>
        <item x="1"/>
        <item x="0"/>
        <item x="3"/>
      </items>
    </pivotField>
    <pivotField showAll="0" defaultSubtotal="0"/>
    <pivotField showAll="0" defaultSubtotal="0"/>
    <pivotField showAll="0" defaultSubtotal="0"/>
    <pivotField axis="axisRow" showAll="0" defaultSubtotal="0">
      <items count="5">
        <item x="2"/>
        <item x="4"/>
        <item x="1"/>
        <item x="3"/>
        <item x="0"/>
      </items>
    </pivotField>
    <pivotField dataField="1" showAll="0" defaultSubtotal="0"/>
    <pivotField dataField="1" showAll="0" defaultSubtotal="0"/>
    <pivotField dataField="1" showAll="0" defaultSubtotal="0"/>
    <pivotField showAll="0" defaultSubtotal="0"/>
    <pivotField showAll="0" defaultSubtotal="0">
      <items count="3">
        <item x="2"/>
        <item x="0"/>
        <item x="1"/>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6"/>
  </rowFields>
  <rowItems count="6">
    <i>
      <x/>
    </i>
    <i>
      <x v="1"/>
    </i>
    <i>
      <x v="2"/>
    </i>
    <i>
      <x v="3"/>
    </i>
    <i>
      <x v="4"/>
    </i>
    <i t="grand">
      <x/>
    </i>
  </rowItems>
  <colFields count="1">
    <field x="-2"/>
  </colFields>
  <colItems count="3">
    <i>
      <x/>
    </i>
    <i i="1">
      <x v="1"/>
    </i>
    <i i="2">
      <x v="2"/>
    </i>
  </colItems>
  <dataFields count="3">
    <dataField name="Sum of Tax" fld="9" baseField="0" baseItem="0" numFmtId="1"/>
    <dataField name="Sum of Quantity" fld="8" baseField="0" baseItem="0"/>
    <dataField name="Average of Unit Price" fld="7" subtotal="average" baseField="6" baseItem="0" numFmtId="1"/>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5D7CCF-A23C-44F4-8CB1-21904A421C4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12">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6">
        <item x="2"/>
        <item x="4"/>
        <item x="1"/>
        <item x="3"/>
        <item x="0"/>
        <item x="5"/>
      </items>
    </pivotField>
    <pivotField showAll="0" defaultSubtotal="0"/>
    <pivotField showAll="0" defaultSubtotal="0"/>
    <pivotField showAll="0" defaultSubtotal="0"/>
    <pivotField dataField="1" showAll="0" defaultSubtotal="0"/>
    <pivotField showAll="0" defaultSubtotal="0"/>
  </pivotFields>
  <rowFields count="1">
    <field x="6"/>
  </rowFields>
  <rowItems count="7">
    <i>
      <x/>
    </i>
    <i>
      <x v="1"/>
    </i>
    <i>
      <x v="2"/>
    </i>
    <i>
      <x v="3"/>
    </i>
    <i>
      <x v="4"/>
    </i>
    <i>
      <x v="5"/>
    </i>
    <i t="grand">
      <x/>
    </i>
  </rowItems>
  <colItems count="1">
    <i/>
  </colItems>
  <dataFields count="1">
    <dataField name="Sum of Total" fld="10" baseField="0" baseItem="0" numFmtId="1"/>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6" count="1" selected="0">
            <x v="0"/>
          </reference>
        </references>
      </pivotArea>
    </chartFormat>
    <chartFormat chart="17" format="16">
      <pivotArea type="data" outline="0" fieldPosition="0">
        <references count="2">
          <reference field="4294967294" count="1" selected="0">
            <x v="0"/>
          </reference>
          <reference field="6" count="1" selected="0">
            <x v="1"/>
          </reference>
        </references>
      </pivotArea>
    </chartFormat>
    <chartFormat chart="17" format="17">
      <pivotArea type="data" outline="0" fieldPosition="0">
        <references count="2">
          <reference field="4294967294" count="1" selected="0">
            <x v="0"/>
          </reference>
          <reference field="6" count="1" selected="0">
            <x v="2"/>
          </reference>
        </references>
      </pivotArea>
    </chartFormat>
    <chartFormat chart="17" format="18">
      <pivotArea type="data" outline="0" fieldPosition="0">
        <references count="2">
          <reference field="4294967294" count="1" selected="0">
            <x v="0"/>
          </reference>
          <reference field="6" count="1" selected="0">
            <x v="3"/>
          </reference>
        </references>
      </pivotArea>
    </chartFormat>
    <chartFormat chart="17" format="19">
      <pivotArea type="data" outline="0" fieldPosition="0">
        <references count="2">
          <reference field="4294967294" count="1" selected="0">
            <x v="0"/>
          </reference>
          <reference field="6" count="1" selected="0">
            <x v="4"/>
          </reference>
        </references>
      </pivotArea>
    </chartFormat>
    <chartFormat chart="17"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88AF5F-3F3B-42FB-BFD0-058522FD6284}"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14">
    <pivotField showAll="0" defaultSubtotal="0">
      <items count="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0"/>
      </items>
    </pivotField>
    <pivotField showAll="0" defaultSubtotal="0"/>
    <pivotField showAll="0" defaultSubtotal="0"/>
    <pivotField showAll="0" defaultSubtotal="0"/>
    <pivotField showAll="0" defaultSubtotal="0"/>
    <pivotField axis="axisRow" showAll="0" defaultSubtotal="0">
      <items count="2">
        <item x="1"/>
        <item x="0"/>
      </items>
    </pivotField>
    <pivotField showAll="0" defaultSubtotal="0"/>
    <pivotField showAll="0" defaultSubtotal="0"/>
    <pivotField showAll="0" defaultSubtotal="0"/>
    <pivotField showAll="0" defaultSubtotal="0"/>
    <pivotField dataField="1" showAll="0" defaultSubtotal="0"/>
    <pivotField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5"/>
  </rowFields>
  <rowItems count="2">
    <i>
      <x/>
    </i>
    <i>
      <x v="1"/>
    </i>
  </rowItems>
  <colItems count="1">
    <i/>
  </colItems>
  <dataFields count="1">
    <dataField name="Sum of Total" fld="10" baseField="0" baseItem="0" numFmtId="1"/>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924D87-2899-42FE-9500-3B582CBFF828}"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14">
    <pivotField showAll="0" defaultSubtotal="0">
      <items count="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axis="axisRow" showAll="0" defaultSubtotal="0">
      <items count="3">
        <item x="2"/>
        <item x="0"/>
        <item x="1"/>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1"/>
  </rowFields>
  <rowItems count="3">
    <i>
      <x/>
    </i>
    <i>
      <x v="1"/>
    </i>
    <i>
      <x v="2"/>
    </i>
  </rowItems>
  <colItems count="1">
    <i/>
  </colItems>
  <dataFields count="1">
    <dataField name="Sum of Total" fld="10" baseField="0" baseItem="0" numFmtId="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 chart="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A986FF-2559-4E06-812A-D08D1E8037F8}"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4">
    <pivotField showAll="0" defaultSubtotal="0">
      <items count="5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0"/>
      </items>
    </pivotField>
    <pivotField showAll="0" defaultSubtotal="0"/>
    <pivotField showAll="0" defaultSubtotal="0"/>
    <pivotField showAll="0" defaultSubtotal="0"/>
    <pivotField showAll="0" defaultSubtotal="0"/>
    <pivotField showAll="0" defaultSubtotal="0"/>
    <pivotField axis="axisRow" showAll="0" defaultSubtotal="0">
      <items count="5">
        <item x="2"/>
        <item x="4"/>
        <item x="1"/>
        <item x="3"/>
        <item x="0"/>
      </items>
    </pivotField>
    <pivotField showAll="0" defaultSubtotal="0"/>
    <pivotField showAll="0" defaultSubtotal="0"/>
    <pivotField showAll="0" defaultSubtotal="0"/>
    <pivotField dataField="1" showAll="0" defaultSubtotal="0"/>
    <pivotField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6">
    <i>
      <x/>
    </i>
    <i>
      <x v="1"/>
    </i>
    <i>
      <x v="2"/>
    </i>
    <i>
      <x v="3"/>
    </i>
    <i>
      <x v="4"/>
    </i>
    <i t="grand">
      <x/>
    </i>
  </rowItems>
  <colItems count="1">
    <i/>
  </colItems>
  <dataFields count="1">
    <dataField name="Sum of Total" fld="10" baseField="0" baseItem="0" numFmtId="1"/>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2"/>
          </reference>
        </references>
      </pivotArea>
    </chartFormat>
    <chartFormat chart="3" format="2">
      <pivotArea type="data" outline="0" fieldPosition="0">
        <references count="2">
          <reference field="4294967294" count="1" selected="0">
            <x v="0"/>
          </reference>
          <reference field="6" count="1" selected="0">
            <x v="3"/>
          </reference>
        </references>
      </pivotArea>
    </chartFormat>
    <chartFormat chart="3" format="3">
      <pivotArea type="data" outline="0" fieldPosition="0">
        <references count="2">
          <reference field="4294967294" count="1" selected="0">
            <x v="0"/>
          </reference>
          <reference field="6" count="1" selected="0">
            <x v="4"/>
          </reference>
        </references>
      </pivotArea>
    </chartFormat>
    <chartFormat chart="3" format="4">
      <pivotArea type="data" outline="0" fieldPosition="0">
        <references count="2">
          <reference field="4294967294" count="1" selected="0">
            <x v="0"/>
          </reference>
          <reference field="6" count="1" selected="0">
            <x v="1"/>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6" count="1" selected="0">
            <x v="0"/>
          </reference>
        </references>
      </pivotArea>
    </chartFormat>
    <chartFormat chart="12" format="14">
      <pivotArea type="data" outline="0" fieldPosition="0">
        <references count="2">
          <reference field="4294967294" count="1" selected="0">
            <x v="0"/>
          </reference>
          <reference field="6" count="1" selected="0">
            <x v="1"/>
          </reference>
        </references>
      </pivotArea>
    </chartFormat>
    <chartFormat chart="12" format="15">
      <pivotArea type="data" outline="0" fieldPosition="0">
        <references count="2">
          <reference field="4294967294" count="1" selected="0">
            <x v="0"/>
          </reference>
          <reference field="6" count="1" selected="0">
            <x v="2"/>
          </reference>
        </references>
      </pivotArea>
    </chartFormat>
    <chartFormat chart="12" format="16">
      <pivotArea type="data" outline="0" fieldPosition="0">
        <references count="2">
          <reference field="4294967294" count="1" selected="0">
            <x v="0"/>
          </reference>
          <reference field="6" count="1" selected="0">
            <x v="3"/>
          </reference>
        </references>
      </pivotArea>
    </chartFormat>
    <chartFormat chart="12"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C091E-3910-4079-9087-94D26C287C70}"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12">
    <pivotField showAll="0" defaultSubtotal="0"/>
    <pivotField showAll="0" defaultSubtotal="0"/>
    <pivotField showAll="0" defaultSubtotal="0"/>
    <pivotField showAll="0" defaultSubtotal="0"/>
    <pivotField axis="axisRow" showAll="0" defaultSubtotal="0">
      <items count="3">
        <item x="1"/>
        <item x="0"/>
        <item x="2"/>
      </items>
    </pivotField>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s>
  <rowFields count="1">
    <field x="4"/>
  </rowFields>
  <rowItems count="3">
    <i>
      <x/>
    </i>
    <i>
      <x v="1"/>
    </i>
    <i>
      <x v="2"/>
    </i>
  </rowItems>
  <colItems count="1">
    <i/>
  </colItems>
  <dataFields count="1">
    <dataField name="Sum of Total" fld="10" baseField="0" baseItem="0" numFmtId="1"/>
  </dataFields>
  <formats count="3">
    <format dxfId="6">
      <pivotArea collapsedLevelsAreSubtotals="1" fieldPosition="0">
        <references count="1">
          <reference field="4" count="1">
            <x v="0"/>
          </reference>
        </references>
      </pivotArea>
    </format>
    <format dxfId="5">
      <pivotArea dataOnly="0" labelOnly="1" outline="0" axis="axisValues" fieldPosition="0"/>
    </format>
    <format dxfId="4">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072B035-97A9-411B-B0E0-2F139A7F9BFC}" sourceName="City">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6302F33-DE6A-447A-B80C-D40512D99FA5}" sourceName="Branch">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A5A28CC-35B2-4F20-B964-66D9FAB01168}" sourceName="Customer Type">
  <extLst>
    <x:ext xmlns:x15="http://schemas.microsoft.com/office/spreadsheetml/2010/11/main" uri="{2F2917AC-EB37-4324-AD4E-5DD8C200BD13}">
      <x15:tableSlicerCache tableId="2"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3863704E-4E9A-4406-B00A-92C089485F6C}" sourceName="Product Line">
  <extLst>
    <x:ext xmlns:x15="http://schemas.microsoft.com/office/spreadsheetml/2010/11/main" uri="{2F2917AC-EB37-4324-AD4E-5DD8C200BD13}">
      <x15:tableSlicerCache tableId="2"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9EC7BC9-87BD-4258-A527-8B921B30BF6C}" sourceName="Payment">
  <extLst>
    <x:ext xmlns:x15="http://schemas.microsoft.com/office/spreadsheetml/2010/11/main" uri="{2F2917AC-EB37-4324-AD4E-5DD8C200BD13}">
      <x15:tableSlicerCache tableId="2" column="1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0739E4-6E76-40D7-8D72-E1DF1162894E}" sourceName="Gender">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33F551F-1901-428A-883B-FA604B4DB9CE}" cache="Slicer_City" caption="City" rowHeight="241300"/>
  <slicer name="City 2" xr10:uid="{A0679C5A-2371-4AAF-919D-833AD772CA12}" cache="Slicer_City" caption="City" rowHeight="241300"/>
  <slicer name="Branch 1" xr10:uid="{661FEF43-2625-4588-823C-BDC5748F89B0}" cache="Slicer_Branch" caption="Branch" rowHeight="241300"/>
  <slicer name="Customer Type 2" xr10:uid="{254941F5-BDB3-4184-8DAE-3B100F0D1B69}" cache="Slicer_Customer_Type" caption="Customer Type" rowHeight="241300"/>
  <slicer name="Product Line 1" xr10:uid="{7DE7F1BB-5022-41B3-B965-1848716AC864}" cache="Slicer_Product_Line" caption="Product Line" rowHeight="241300"/>
  <slicer name="Payment 1" xr10:uid="{4F9DB2E9-C678-4841-BD52-76A2731F5850}" cache="Slicer_Payment" caption="Payment" rowHeight="241300"/>
  <slicer name="Gender 4" xr10:uid="{F78B7EF0-B73B-4AAF-92D2-3C828578A6A2}"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3164EE-299B-4ED1-9106-3AE65D179CD6}" name="Table2" displayName="Table2" ref="A1:L52" totalsRowCount="1">
  <autoFilter ref="A1:L51" xr:uid="{A93164EE-299B-4ED1-9106-3AE65D179CD6}"/>
  <tableColumns count="12">
    <tableColumn id="1" xr3:uid="{D0EEC96D-996A-4E3C-AFD8-5445FDEBCCE2}" name="Date" dataDxfId="3" totalsRowDxfId="1"/>
    <tableColumn id="2" xr3:uid="{33BD2D1D-9793-4B98-A6C2-FAE32857CD34}" name="Invoice ID"/>
    <tableColumn id="3" xr3:uid="{6DDC47DE-CFC0-4961-8C2D-DB8AC7E3AD02}" name="City"/>
    <tableColumn id="4" xr3:uid="{071B78A6-DE57-4E07-8D45-B01DD34E716F}" name="Branch"/>
    <tableColumn id="5" xr3:uid="{881C27C2-38FB-4B10-8D3E-0574F9632E96}" name="Customer Type"/>
    <tableColumn id="6" xr3:uid="{B1C42D0B-96D0-422B-8BEF-B1AE95621630}" name="Gender"/>
    <tableColumn id="7" xr3:uid="{4B0D2400-3F6C-47BC-B4D3-766496486ECA}" name="Product Line"/>
    <tableColumn id="8" xr3:uid="{F622DB6F-EB54-4BA7-A5A0-35964A356DA9}" name="Unit Price" totalsRowFunction="custom">
      <totalsRowFormula>SUM(H1:H51)</totalsRowFormula>
    </tableColumn>
    <tableColumn id="9" xr3:uid="{C2A271FC-CB89-4943-BEBC-F2A922C6F338}" name="Quantity" totalsRowFunction="custom">
      <totalsRowFormula>SUM(I1:I51)</totalsRowFormula>
    </tableColumn>
    <tableColumn id="10" xr3:uid="{789619C3-2909-4C00-B277-A66E44CB1500}" name="Tax" totalsRowFunction="custom">
      <totalsRowFormula>SUM(J3:J51)</totalsRowFormula>
    </tableColumn>
    <tableColumn id="11" xr3:uid="{6FFA7A09-759A-4311-AA60-B100305EB955}" name="Total" totalsRowFunction="custom" dataDxfId="2" totalsRowDxfId="0">
      <totalsRowFormula>SUM(K3:K51)</totalsRowFormula>
    </tableColumn>
    <tableColumn id="12" xr3:uid="{D9245512-F1E5-49E5-AB4C-8737D275A79A}" name="Pay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7A2A-D587-4870-AA7A-7BF2E462DB23}">
  <dimension ref="A3:D9"/>
  <sheetViews>
    <sheetView workbookViewId="0">
      <selection activeCell="H6" sqref="H6"/>
    </sheetView>
  </sheetViews>
  <sheetFormatPr defaultRowHeight="15" x14ac:dyDescent="0.25"/>
  <cols>
    <col min="1" max="1" width="20.42578125" bestFit="1" customWidth="1"/>
    <col min="2" max="2" width="10.5703125" bestFit="1" customWidth="1"/>
    <col min="3" max="3" width="15.42578125" bestFit="1" customWidth="1"/>
    <col min="4" max="4" width="20" bestFit="1" customWidth="1"/>
  </cols>
  <sheetData>
    <row r="3" spans="1:4" x14ac:dyDescent="0.25">
      <c r="A3" s="2" t="s">
        <v>88</v>
      </c>
      <c r="B3" t="s">
        <v>83</v>
      </c>
      <c r="C3" t="s">
        <v>84</v>
      </c>
      <c r="D3" t="s">
        <v>87</v>
      </c>
    </row>
    <row r="4" spans="1:4" x14ac:dyDescent="0.25">
      <c r="A4" s="3" t="s">
        <v>27</v>
      </c>
      <c r="B4" s="4">
        <v>2502.6000000000004</v>
      </c>
      <c r="C4" s="7">
        <v>40</v>
      </c>
      <c r="D4" s="4">
        <v>1195.8666666666666</v>
      </c>
    </row>
    <row r="5" spans="1:4" x14ac:dyDescent="0.25">
      <c r="A5" s="3" t="s">
        <v>49</v>
      </c>
      <c r="B5" s="4">
        <v>1578.95</v>
      </c>
      <c r="C5" s="7">
        <v>29</v>
      </c>
      <c r="D5" s="4">
        <v>1108.8</v>
      </c>
    </row>
    <row r="6" spans="1:4" x14ac:dyDescent="0.25">
      <c r="A6" s="3" t="s">
        <v>22</v>
      </c>
      <c r="B6" s="4">
        <v>1631.55</v>
      </c>
      <c r="C6" s="7">
        <v>31</v>
      </c>
      <c r="D6" s="4">
        <v>994.7</v>
      </c>
    </row>
    <row r="7" spans="1:4" x14ac:dyDescent="0.25">
      <c r="A7" s="3" t="s">
        <v>46</v>
      </c>
      <c r="B7" s="4">
        <v>410.20000000000005</v>
      </c>
      <c r="C7" s="7">
        <v>11</v>
      </c>
      <c r="D7" s="4">
        <v>907.4</v>
      </c>
    </row>
    <row r="8" spans="1:4" x14ac:dyDescent="0.25">
      <c r="A8" s="3" t="s">
        <v>17</v>
      </c>
      <c r="B8" s="4">
        <v>1351.35</v>
      </c>
      <c r="C8" s="7">
        <v>27</v>
      </c>
      <c r="D8" s="4">
        <v>1099.7</v>
      </c>
    </row>
    <row r="9" spans="1:4" x14ac:dyDescent="0.25">
      <c r="A9" s="3" t="s">
        <v>89</v>
      </c>
      <c r="B9" s="4">
        <v>7474.65</v>
      </c>
      <c r="C9" s="7">
        <v>138</v>
      </c>
      <c r="D9" s="4">
        <v>1090.1400000000001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AB12-46AD-4D8F-AFAB-0AED0E66C2A8}">
  <sheetPr>
    <pageSetUpPr autoPageBreaks="0"/>
  </sheetPr>
  <dimension ref="A1:AV19"/>
  <sheetViews>
    <sheetView topLeftCell="U1" zoomScale="59" zoomScaleNormal="59" workbookViewId="0">
      <selection activeCell="AE6" sqref="AE6"/>
    </sheetView>
  </sheetViews>
  <sheetFormatPr defaultRowHeight="15" x14ac:dyDescent="0.25"/>
  <cols>
    <col min="8" max="9" width="9.140625" customWidth="1"/>
    <col min="19" max="20" width="9.140625" customWidth="1"/>
    <col min="31" max="31" width="21.7109375" customWidth="1"/>
    <col min="32" max="32" width="22.42578125" customWidth="1"/>
    <col min="33" max="33" width="21.28515625" customWidth="1"/>
    <col min="34" max="34" width="20.85546875" customWidth="1"/>
  </cols>
  <sheetData>
    <row r="1" spans="1:48" s="11" customFormat="1" ht="22.5" customHeight="1" x14ac:dyDescent="0.25">
      <c r="A1" s="10"/>
      <c r="B1" s="10"/>
      <c r="C1" s="12" t="s">
        <v>95</v>
      </c>
      <c r="D1" s="13"/>
      <c r="E1" s="13"/>
      <c r="F1" s="13"/>
      <c r="G1" s="13"/>
      <c r="H1" s="13"/>
      <c r="I1" s="13"/>
      <c r="J1" s="13"/>
      <c r="K1" s="10"/>
      <c r="L1" s="10"/>
      <c r="M1" s="10"/>
      <c r="N1" s="10"/>
      <c r="O1" s="10"/>
      <c r="P1" s="10"/>
      <c r="Q1" s="10"/>
      <c r="R1" s="10"/>
      <c r="S1" s="10"/>
      <c r="T1" s="10"/>
      <c r="U1" s="10"/>
      <c r="V1" s="10"/>
      <c r="W1" s="10"/>
      <c r="X1" s="10"/>
      <c r="Y1" s="10"/>
      <c r="Z1" s="10"/>
    </row>
    <row r="2" spans="1:48" s="11" customFormat="1" ht="17.25" customHeight="1" x14ac:dyDescent="0.25">
      <c r="A2" s="10"/>
      <c r="B2" s="10"/>
      <c r="C2" s="13"/>
      <c r="D2" s="13"/>
      <c r="E2" s="13"/>
      <c r="F2" s="13"/>
      <c r="G2" s="13"/>
      <c r="H2" s="13"/>
      <c r="I2" s="13"/>
      <c r="J2" s="13"/>
      <c r="K2" s="10"/>
      <c r="L2" s="10"/>
      <c r="M2" s="10"/>
      <c r="N2" s="10"/>
      <c r="O2" s="10"/>
      <c r="P2" s="10"/>
      <c r="Q2" s="10"/>
      <c r="R2" s="10"/>
      <c r="S2" s="10"/>
      <c r="T2" s="10"/>
      <c r="U2" s="10"/>
      <c r="V2" s="10"/>
      <c r="W2" s="10"/>
      <c r="X2" s="10"/>
      <c r="Y2" s="10"/>
      <c r="Z2" s="10"/>
    </row>
    <row r="3" spans="1:48" x14ac:dyDescent="0.25">
      <c r="C3" s="6"/>
      <c r="D3" s="6"/>
      <c r="E3" s="6"/>
      <c r="F3" s="6"/>
      <c r="G3" s="6"/>
      <c r="H3" s="6"/>
      <c r="I3" s="6"/>
      <c r="J3" s="6"/>
      <c r="K3" s="6"/>
    </row>
    <row r="5" spans="1:48" x14ac:dyDescent="0.25">
      <c r="AE5" s="8" t="s">
        <v>90</v>
      </c>
      <c r="AF5" s="8" t="s">
        <v>91</v>
      </c>
      <c r="AG5" s="8" t="s">
        <v>92</v>
      </c>
      <c r="AH5" s="8" t="s">
        <v>93</v>
      </c>
      <c r="AI5" s="8"/>
      <c r="AJ5" s="8"/>
      <c r="AK5" s="8"/>
      <c r="AL5" s="8"/>
      <c r="AM5" s="8"/>
      <c r="AN5" s="8"/>
      <c r="AO5" s="8"/>
      <c r="AP5" s="8"/>
      <c r="AQ5" s="8"/>
      <c r="AR5" s="8"/>
      <c r="AS5" s="8"/>
      <c r="AT5" s="8"/>
      <c r="AU5" s="8"/>
      <c r="AV5" s="8"/>
    </row>
    <row r="6" spans="1:48" x14ac:dyDescent="0.25">
      <c r="AE6" s="4">
        <f>Sales_Data!K52</f>
        <v>155328.59999999998</v>
      </c>
      <c r="AF6" s="4">
        <f>Sales_Data!J52</f>
        <v>7396.6000000000013</v>
      </c>
      <c r="AG6">
        <f>Sales_Data!I52</f>
        <v>138</v>
      </c>
      <c r="AH6">
        <f>Sales_Data!H52</f>
        <v>54507</v>
      </c>
    </row>
    <row r="9" spans="1:48" x14ac:dyDescent="0.25">
      <c r="Z9" s="4"/>
    </row>
    <row r="10" spans="1:48" x14ac:dyDescent="0.25">
      <c r="AC10" s="4"/>
    </row>
    <row r="12" spans="1:48" x14ac:dyDescent="0.25">
      <c r="AD12" s="4"/>
    </row>
    <row r="18" spans="31:31" ht="18.75" x14ac:dyDescent="0.3">
      <c r="AE18" s="9" t="s">
        <v>94</v>
      </c>
    </row>
    <row r="19" spans="31:31" x14ac:dyDescent="0.25">
      <c r="AE19">
        <f>COUNTIF(Sales_Data!F1:F52,"Male")</f>
        <v>28</v>
      </c>
    </row>
  </sheetData>
  <mergeCells count="1">
    <mergeCell ref="C1:J2"/>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1BE19-F78F-4212-AF2E-69FBA0D74669}">
  <dimension ref="A3:B10"/>
  <sheetViews>
    <sheetView topLeftCell="A2" workbookViewId="0">
      <selection activeCell="B10" sqref="B10"/>
    </sheetView>
  </sheetViews>
  <sheetFormatPr defaultRowHeight="15" x14ac:dyDescent="0.25"/>
  <cols>
    <col min="1" max="1" width="20.42578125" bestFit="1" customWidth="1"/>
    <col min="2" max="2" width="12" bestFit="1" customWidth="1"/>
  </cols>
  <sheetData>
    <row r="3" spans="1:2" x14ac:dyDescent="0.25">
      <c r="A3" s="2" t="s">
        <v>85</v>
      </c>
      <c r="B3" t="s">
        <v>82</v>
      </c>
    </row>
    <row r="4" spans="1:2" x14ac:dyDescent="0.25">
      <c r="A4" s="3" t="s">
        <v>27</v>
      </c>
      <c r="B4" s="4">
        <v>52554.600000000006</v>
      </c>
    </row>
    <row r="5" spans="1:2" x14ac:dyDescent="0.25">
      <c r="A5" s="3" t="s">
        <v>49</v>
      </c>
      <c r="B5" s="4">
        <v>33157.949999999997</v>
      </c>
    </row>
    <row r="6" spans="1:2" x14ac:dyDescent="0.25">
      <c r="A6" s="3" t="s">
        <v>22</v>
      </c>
      <c r="B6" s="4">
        <v>34262.549999999996</v>
      </c>
    </row>
    <row r="7" spans="1:2" x14ac:dyDescent="0.25">
      <c r="A7" s="3" t="s">
        <v>46</v>
      </c>
      <c r="B7" s="4">
        <v>8614.2000000000007</v>
      </c>
    </row>
    <row r="8" spans="1:2" x14ac:dyDescent="0.25">
      <c r="A8" s="3" t="s">
        <v>17</v>
      </c>
      <c r="B8" s="4">
        <v>28378.35</v>
      </c>
    </row>
    <row r="9" spans="1:2" x14ac:dyDescent="0.25">
      <c r="A9" s="3" t="s">
        <v>86</v>
      </c>
      <c r="B9" s="4"/>
    </row>
    <row r="10" spans="1:2" x14ac:dyDescent="0.25">
      <c r="A10" s="3" t="s">
        <v>89</v>
      </c>
      <c r="B10" s="4">
        <v>156967.65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C09A-4EE1-4DF6-8016-E18CB34A2587}">
  <dimension ref="A3:B5"/>
  <sheetViews>
    <sheetView workbookViewId="0">
      <selection activeCell="C22" sqref="C22"/>
    </sheetView>
  </sheetViews>
  <sheetFormatPr defaultRowHeight="15" x14ac:dyDescent="0.25"/>
  <cols>
    <col min="1" max="1" width="13.140625" bestFit="1" customWidth="1"/>
    <col min="2" max="2" width="12" bestFit="1" customWidth="1"/>
  </cols>
  <sheetData>
    <row r="3" spans="1:2" x14ac:dyDescent="0.25">
      <c r="A3" s="2" t="s">
        <v>85</v>
      </c>
      <c r="B3" t="s">
        <v>82</v>
      </c>
    </row>
    <row r="4" spans="1:2" x14ac:dyDescent="0.25">
      <c r="A4" s="3" t="s">
        <v>26</v>
      </c>
      <c r="B4" s="4">
        <v>72893.100000000006</v>
      </c>
    </row>
    <row r="5" spans="1:2" x14ac:dyDescent="0.25">
      <c r="A5" s="3" t="s">
        <v>16</v>
      </c>
      <c r="B5" s="4">
        <v>84074.550000000017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3165-09E2-45F5-ABCE-27FD8EABE603}">
  <sheetPr>
    <pageSetUpPr autoPageBreaks="0"/>
  </sheetPr>
  <dimension ref="Q1:AC4"/>
  <sheetViews>
    <sheetView tabSelected="1" topLeftCell="S1" zoomScaleNormal="100" workbookViewId="0">
      <selection activeCell="S1" sqref="S1"/>
    </sheetView>
  </sheetViews>
  <sheetFormatPr defaultRowHeight="15" x14ac:dyDescent="0.25"/>
  <cols>
    <col min="17" max="17" width="2" hidden="1" customWidth="1"/>
    <col min="18" max="18" width="9.140625" hidden="1" customWidth="1"/>
    <col min="19" max="19" width="26.140625" customWidth="1"/>
    <col min="20" max="20" width="0.28515625" customWidth="1"/>
    <col min="21" max="21" width="32.42578125" customWidth="1"/>
    <col min="22" max="22" width="32.85546875" customWidth="1"/>
    <col min="23" max="23" width="31.42578125" customWidth="1"/>
    <col min="24" max="24" width="31.85546875" customWidth="1"/>
    <col min="25" max="25" width="32.5703125" customWidth="1"/>
  </cols>
  <sheetData>
    <row r="1" spans="19:29" s="14" customFormat="1" ht="21" customHeight="1" x14ac:dyDescent="0.25">
      <c r="W1" s="16" t="s">
        <v>100</v>
      </c>
      <c r="X1" s="5"/>
      <c r="Y1" s="5"/>
      <c r="Z1" s="5"/>
      <c r="AA1" s="5"/>
      <c r="AB1" s="5"/>
    </row>
    <row r="3" spans="19:29" x14ac:dyDescent="0.25">
      <c r="S3" s="15" t="s">
        <v>99</v>
      </c>
      <c r="U3" s="15" t="s">
        <v>91</v>
      </c>
      <c r="V3" s="15" t="s">
        <v>92</v>
      </c>
      <c r="W3" s="15" t="s">
        <v>96</v>
      </c>
      <c r="X3" s="15" t="s">
        <v>97</v>
      </c>
      <c r="Y3" s="15" t="s">
        <v>98</v>
      </c>
      <c r="Z3" s="8"/>
      <c r="AA3" s="8"/>
      <c r="AB3" s="8"/>
      <c r="AC3" s="8"/>
    </row>
    <row r="4" spans="19:29" x14ac:dyDescent="0.25">
      <c r="S4" s="4">
        <f>Sales_Data!K52</f>
        <v>155328.59999999998</v>
      </c>
      <c r="U4" s="4">
        <f>Sales_Data!J52</f>
        <v>7396.6000000000013</v>
      </c>
      <c r="V4" s="4">
        <f>Sales_Data!I52</f>
        <v>138</v>
      </c>
      <c r="W4">
        <f>Sales_Data!H52</f>
        <v>54507</v>
      </c>
      <c r="X4">
        <f>COUNTIF(Sales_Data!F1:F52,"Male")</f>
        <v>28</v>
      </c>
      <c r="Y4" s="4">
        <f>COUNTIF(Sales_Data!F1:F52,"Female")</f>
        <v>22</v>
      </c>
      <c r="Z4" s="4"/>
      <c r="AC4" s="4"/>
    </row>
  </sheetData>
  <mergeCells count="1">
    <mergeCell ref="W1:AB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D317B-E2B8-49A6-9048-314553ECF99D}">
  <dimension ref="A3:B6"/>
  <sheetViews>
    <sheetView workbookViewId="0">
      <selection activeCell="K16" sqref="K16"/>
    </sheetView>
  </sheetViews>
  <sheetFormatPr defaultRowHeight="15" x14ac:dyDescent="0.25"/>
  <cols>
    <col min="1" max="1" width="13.140625" bestFit="1" customWidth="1"/>
    <col min="2" max="2" width="12" bestFit="1" customWidth="1"/>
  </cols>
  <sheetData>
    <row r="3" spans="1:2" x14ac:dyDescent="0.25">
      <c r="A3" s="2" t="s">
        <v>85</v>
      </c>
      <c r="B3" t="s">
        <v>82</v>
      </c>
    </row>
    <row r="4" spans="1:2" x14ac:dyDescent="0.25">
      <c r="A4" s="3" t="s">
        <v>38</v>
      </c>
      <c r="B4" s="4">
        <v>41715.450000000004</v>
      </c>
    </row>
    <row r="5" spans="1:2" x14ac:dyDescent="0.25">
      <c r="A5" s="3" t="s">
        <v>18</v>
      </c>
      <c r="B5" s="4">
        <v>39597.599999999999</v>
      </c>
    </row>
    <row r="6" spans="1:2" x14ac:dyDescent="0.25">
      <c r="A6" s="3" t="s">
        <v>28</v>
      </c>
      <c r="B6" s="4">
        <v>75654.600000000006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88A4-342F-4C57-B219-E7057EB1597F}">
  <dimension ref="A3:B9"/>
  <sheetViews>
    <sheetView workbookViewId="0">
      <selection activeCell="A9" sqref="A9"/>
    </sheetView>
  </sheetViews>
  <sheetFormatPr defaultRowHeight="15" x14ac:dyDescent="0.25"/>
  <cols>
    <col min="1" max="1" width="20.42578125" bestFit="1" customWidth="1"/>
    <col min="2" max="2" width="12" bestFit="1" customWidth="1"/>
    <col min="3" max="3" width="18.5703125" bestFit="1" customWidth="1"/>
    <col min="4" max="4" width="19" bestFit="1" customWidth="1"/>
    <col min="5" max="5" width="17.42578125" bestFit="1" customWidth="1"/>
    <col min="6" max="6" width="18" bestFit="1" customWidth="1"/>
    <col min="7" max="7" width="11.28515625" bestFit="1" customWidth="1"/>
  </cols>
  <sheetData>
    <row r="3" spans="1:2" x14ac:dyDescent="0.25">
      <c r="A3" s="2" t="s">
        <v>85</v>
      </c>
      <c r="B3" t="s">
        <v>82</v>
      </c>
    </row>
    <row r="4" spans="1:2" x14ac:dyDescent="0.25">
      <c r="A4" s="3" t="s">
        <v>27</v>
      </c>
      <c r="B4" s="4">
        <v>52554.600000000006</v>
      </c>
    </row>
    <row r="5" spans="1:2" x14ac:dyDescent="0.25">
      <c r="A5" s="3" t="s">
        <v>49</v>
      </c>
      <c r="B5" s="4">
        <v>33157.949999999997</v>
      </c>
    </row>
    <row r="6" spans="1:2" x14ac:dyDescent="0.25">
      <c r="A6" s="3" t="s">
        <v>22</v>
      </c>
      <c r="B6" s="4">
        <v>34262.549999999996</v>
      </c>
    </row>
    <row r="7" spans="1:2" x14ac:dyDescent="0.25">
      <c r="A7" s="3" t="s">
        <v>46</v>
      </c>
      <c r="B7" s="4">
        <v>8614.2000000000007</v>
      </c>
    </row>
    <row r="8" spans="1:2" x14ac:dyDescent="0.25">
      <c r="A8" s="3" t="s">
        <v>17</v>
      </c>
      <c r="B8" s="4">
        <v>28378.35</v>
      </c>
    </row>
    <row r="9" spans="1:2" x14ac:dyDescent="0.25">
      <c r="A9" s="3" t="s">
        <v>89</v>
      </c>
      <c r="B9" s="4">
        <v>156967.65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61A1-B5B1-41DD-A2D4-EB9BBD897B9E}">
  <dimension ref="A3:B10"/>
  <sheetViews>
    <sheetView workbookViewId="0">
      <selection activeCell="M5" sqref="M5"/>
    </sheetView>
  </sheetViews>
  <sheetFormatPr defaultRowHeight="15" x14ac:dyDescent="0.25"/>
  <cols>
    <col min="1" max="1" width="13.140625" bestFit="1" customWidth="1"/>
    <col min="2" max="2" width="12" bestFit="1" customWidth="1"/>
  </cols>
  <sheetData>
    <row r="3" spans="1:2" x14ac:dyDescent="0.25">
      <c r="A3" s="2" t="s">
        <v>85</v>
      </c>
      <c r="B3" s="4" t="s">
        <v>82</v>
      </c>
    </row>
    <row r="4" spans="1:2" x14ac:dyDescent="0.25">
      <c r="A4" s="3" t="s">
        <v>30</v>
      </c>
      <c r="B4" s="4">
        <v>74331.600000000006</v>
      </c>
    </row>
    <row r="5" spans="1:2" x14ac:dyDescent="0.25">
      <c r="A5" s="3" t="s">
        <v>15</v>
      </c>
      <c r="B5" s="4">
        <v>82636.050000000017</v>
      </c>
    </row>
    <row r="6" spans="1:2" x14ac:dyDescent="0.25">
      <c r="A6" s="3" t="s">
        <v>86</v>
      </c>
      <c r="B6" s="4"/>
    </row>
    <row r="10" spans="1:2" ht="25.5" customHeight="1" x14ac:dyDescent="0.25"/>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opLeftCell="A34" zoomScale="90" zoomScaleNormal="90" workbookViewId="0">
      <selection activeCell="M12" sqref="M12"/>
    </sheetView>
  </sheetViews>
  <sheetFormatPr defaultRowHeight="15" x14ac:dyDescent="0.25"/>
  <cols>
    <col min="1" max="1" width="15.5703125" customWidth="1"/>
    <col min="2" max="2" width="19.140625" customWidth="1"/>
    <col min="3" max="3" width="11" customWidth="1"/>
    <col min="4" max="4" width="12.7109375" customWidth="1"/>
    <col min="5" max="5" width="18.85546875" customWidth="1"/>
    <col min="6" max="6" width="19.28515625" customWidth="1"/>
    <col min="7" max="7" width="29.85546875" customWidth="1"/>
    <col min="8" max="8" width="13.85546875" customWidth="1"/>
    <col min="9" max="9" width="14.85546875" customWidth="1"/>
    <col min="10" max="10" width="12" customWidth="1"/>
    <col min="11" max="11" width="14.7109375" customWidth="1"/>
    <col min="12" max="12" width="27.85546875" customWidth="1"/>
    <col min="15" max="15" width="11" customWidth="1"/>
  </cols>
  <sheetData>
    <row r="1" spans="1:12" x14ac:dyDescent="0.25">
      <c r="A1" t="s">
        <v>0</v>
      </c>
      <c r="B1" t="s">
        <v>1</v>
      </c>
      <c r="C1" t="s">
        <v>2</v>
      </c>
      <c r="D1" t="s">
        <v>3</v>
      </c>
      <c r="E1" t="s">
        <v>4</v>
      </c>
      <c r="F1" t="s">
        <v>5</v>
      </c>
      <c r="G1" t="s">
        <v>6</v>
      </c>
      <c r="H1" t="s">
        <v>7</v>
      </c>
      <c r="I1" t="s">
        <v>8</v>
      </c>
      <c r="J1" t="s">
        <v>9</v>
      </c>
      <c r="K1" s="4" t="s">
        <v>10</v>
      </c>
      <c r="L1" t="s">
        <v>11</v>
      </c>
    </row>
    <row r="2" spans="1:12" x14ac:dyDescent="0.25">
      <c r="A2" s="1"/>
      <c r="B2" t="s">
        <v>12</v>
      </c>
      <c r="C2" t="s">
        <v>13</v>
      </c>
      <c r="D2" t="s">
        <v>14</v>
      </c>
      <c r="E2" t="s">
        <v>15</v>
      </c>
      <c r="F2" t="s">
        <v>16</v>
      </c>
      <c r="G2" t="s">
        <v>17</v>
      </c>
      <c r="H2">
        <v>1561</v>
      </c>
      <c r="I2">
        <v>1</v>
      </c>
      <c r="J2">
        <v>78.05</v>
      </c>
      <c r="K2" s="4">
        <v>1639.05</v>
      </c>
      <c r="L2" t="s">
        <v>18</v>
      </c>
    </row>
    <row r="3" spans="1:12" x14ac:dyDescent="0.25">
      <c r="A3" s="1">
        <v>45294</v>
      </c>
      <c r="B3" t="s">
        <v>19</v>
      </c>
      <c r="C3" t="s">
        <v>20</v>
      </c>
      <c r="D3" t="s">
        <v>21</v>
      </c>
      <c r="E3" t="s">
        <v>15</v>
      </c>
      <c r="F3" t="s">
        <v>16</v>
      </c>
      <c r="G3" t="s">
        <v>22</v>
      </c>
      <c r="H3">
        <v>378</v>
      </c>
      <c r="I3">
        <v>3</v>
      </c>
      <c r="J3">
        <v>56.7</v>
      </c>
      <c r="K3" s="4">
        <v>1190.7</v>
      </c>
      <c r="L3" t="s">
        <v>18</v>
      </c>
    </row>
    <row r="4" spans="1:12" x14ac:dyDescent="0.25">
      <c r="A4" s="1">
        <v>45295</v>
      </c>
      <c r="B4" t="s">
        <v>23</v>
      </c>
      <c r="C4" t="s">
        <v>24</v>
      </c>
      <c r="D4" t="s">
        <v>25</v>
      </c>
      <c r="E4" t="s">
        <v>15</v>
      </c>
      <c r="F4" t="s">
        <v>26</v>
      </c>
      <c r="G4" t="s">
        <v>27</v>
      </c>
      <c r="H4">
        <v>1635</v>
      </c>
      <c r="I4">
        <v>2</v>
      </c>
      <c r="J4">
        <v>163.5</v>
      </c>
      <c r="K4" s="4">
        <v>3433.5</v>
      </c>
      <c r="L4" t="s">
        <v>28</v>
      </c>
    </row>
    <row r="5" spans="1:12" x14ac:dyDescent="0.25">
      <c r="A5" s="1">
        <v>45296</v>
      </c>
      <c r="B5" t="s">
        <v>29</v>
      </c>
      <c r="C5" t="s">
        <v>13</v>
      </c>
      <c r="D5" t="s">
        <v>14</v>
      </c>
      <c r="E5" t="s">
        <v>30</v>
      </c>
      <c r="F5" t="s">
        <v>26</v>
      </c>
      <c r="G5" t="s">
        <v>22</v>
      </c>
      <c r="H5">
        <v>956</v>
      </c>
      <c r="I5">
        <v>5</v>
      </c>
      <c r="J5">
        <v>239</v>
      </c>
      <c r="K5" s="4">
        <v>5019</v>
      </c>
      <c r="L5" t="s">
        <v>28</v>
      </c>
    </row>
    <row r="6" spans="1:12" x14ac:dyDescent="0.25">
      <c r="A6" s="1">
        <v>45297</v>
      </c>
      <c r="B6" t="s">
        <v>31</v>
      </c>
      <c r="C6" t="s">
        <v>32</v>
      </c>
      <c r="D6" t="s">
        <v>14</v>
      </c>
      <c r="E6" t="s">
        <v>30</v>
      </c>
      <c r="F6" t="s">
        <v>26</v>
      </c>
      <c r="G6" t="s">
        <v>22</v>
      </c>
      <c r="H6">
        <v>1375</v>
      </c>
      <c r="I6">
        <v>4</v>
      </c>
      <c r="J6">
        <v>275</v>
      </c>
      <c r="K6" s="4">
        <v>5775</v>
      </c>
      <c r="L6" t="s">
        <v>28</v>
      </c>
    </row>
    <row r="7" spans="1:12" x14ac:dyDescent="0.25">
      <c r="A7" s="1">
        <v>45298</v>
      </c>
      <c r="B7" t="s">
        <v>33</v>
      </c>
      <c r="C7" t="s">
        <v>13</v>
      </c>
      <c r="D7" t="s">
        <v>25</v>
      </c>
      <c r="E7" t="s">
        <v>15</v>
      </c>
      <c r="F7" t="s">
        <v>26</v>
      </c>
      <c r="G7" t="s">
        <v>17</v>
      </c>
      <c r="H7">
        <v>373</v>
      </c>
      <c r="I7">
        <v>5</v>
      </c>
      <c r="J7">
        <v>93.25</v>
      </c>
      <c r="K7" s="4">
        <v>1958.25</v>
      </c>
      <c r="L7" t="s">
        <v>28</v>
      </c>
    </row>
    <row r="8" spans="1:12" x14ac:dyDescent="0.25">
      <c r="A8" s="1">
        <v>45299</v>
      </c>
      <c r="B8" t="s">
        <v>34</v>
      </c>
      <c r="C8" t="s">
        <v>13</v>
      </c>
      <c r="D8" t="s">
        <v>14</v>
      </c>
      <c r="E8" t="s">
        <v>30</v>
      </c>
      <c r="F8" t="s">
        <v>16</v>
      </c>
      <c r="G8" t="s">
        <v>22</v>
      </c>
      <c r="H8">
        <v>1408</v>
      </c>
      <c r="I8">
        <v>1</v>
      </c>
      <c r="J8">
        <v>70.400000000000006</v>
      </c>
      <c r="K8" s="4">
        <v>1478.4</v>
      </c>
      <c r="L8" t="s">
        <v>28</v>
      </c>
    </row>
    <row r="9" spans="1:12" x14ac:dyDescent="0.25">
      <c r="A9" s="1">
        <v>45300</v>
      </c>
      <c r="B9" t="s">
        <v>35</v>
      </c>
      <c r="C9" t="s">
        <v>32</v>
      </c>
      <c r="D9" t="s">
        <v>21</v>
      </c>
      <c r="E9" t="s">
        <v>30</v>
      </c>
      <c r="F9" t="s">
        <v>16</v>
      </c>
      <c r="G9" t="s">
        <v>22</v>
      </c>
      <c r="H9">
        <v>936</v>
      </c>
      <c r="I9">
        <v>4</v>
      </c>
      <c r="J9">
        <v>187.2</v>
      </c>
      <c r="K9" s="4">
        <v>3931.2</v>
      </c>
      <c r="L9" t="s">
        <v>28</v>
      </c>
    </row>
    <row r="10" spans="1:12" x14ac:dyDescent="0.25">
      <c r="A10" s="1">
        <v>45301</v>
      </c>
      <c r="B10" t="s">
        <v>36</v>
      </c>
      <c r="C10" t="s">
        <v>37</v>
      </c>
      <c r="D10" t="s">
        <v>25</v>
      </c>
      <c r="E10" t="s">
        <v>15</v>
      </c>
      <c r="F10" t="s">
        <v>16</v>
      </c>
      <c r="G10" t="s">
        <v>22</v>
      </c>
      <c r="H10">
        <v>1207</v>
      </c>
      <c r="I10">
        <v>2</v>
      </c>
      <c r="J10">
        <v>120.7</v>
      </c>
      <c r="K10" s="4">
        <v>2534.6999999999998</v>
      </c>
      <c r="L10" t="s">
        <v>38</v>
      </c>
    </row>
    <row r="11" spans="1:12" x14ac:dyDescent="0.25">
      <c r="A11" s="1">
        <v>45302</v>
      </c>
      <c r="B11" t="s">
        <v>39</v>
      </c>
      <c r="C11" t="s">
        <v>37</v>
      </c>
      <c r="D11" t="s">
        <v>21</v>
      </c>
      <c r="E11" t="s">
        <v>30</v>
      </c>
      <c r="F11" t="s">
        <v>16</v>
      </c>
      <c r="G11" t="s">
        <v>27</v>
      </c>
      <c r="H11">
        <v>952</v>
      </c>
      <c r="I11">
        <v>2</v>
      </c>
      <c r="J11">
        <v>95.2</v>
      </c>
      <c r="K11" s="4">
        <v>1999.2</v>
      </c>
      <c r="L11" t="s">
        <v>38</v>
      </c>
    </row>
    <row r="12" spans="1:12" x14ac:dyDescent="0.25">
      <c r="A12" s="1">
        <v>45303</v>
      </c>
      <c r="B12" t="s">
        <v>40</v>
      </c>
      <c r="C12" t="s">
        <v>20</v>
      </c>
      <c r="D12" t="s">
        <v>25</v>
      </c>
      <c r="E12" t="s">
        <v>15</v>
      </c>
      <c r="F12" t="s">
        <v>16</v>
      </c>
      <c r="G12" t="s">
        <v>27</v>
      </c>
      <c r="H12">
        <v>1128</v>
      </c>
      <c r="I12">
        <v>4</v>
      </c>
      <c r="J12">
        <v>225.6</v>
      </c>
      <c r="K12" s="4">
        <v>4737.6000000000004</v>
      </c>
      <c r="L12" t="s">
        <v>28</v>
      </c>
    </row>
    <row r="13" spans="1:12" x14ac:dyDescent="0.25">
      <c r="A13" s="1">
        <v>45304</v>
      </c>
      <c r="B13" t="s">
        <v>41</v>
      </c>
      <c r="C13" t="s">
        <v>37</v>
      </c>
      <c r="D13" t="s">
        <v>21</v>
      </c>
      <c r="E13" t="s">
        <v>30</v>
      </c>
      <c r="F13" t="s">
        <v>16</v>
      </c>
      <c r="G13" t="s">
        <v>27</v>
      </c>
      <c r="H13">
        <v>1785</v>
      </c>
      <c r="I13">
        <v>3</v>
      </c>
      <c r="J13">
        <v>267.75</v>
      </c>
      <c r="K13" s="4">
        <v>5622.75</v>
      </c>
      <c r="L13" t="s">
        <v>28</v>
      </c>
    </row>
    <row r="14" spans="1:12" x14ac:dyDescent="0.25">
      <c r="A14" s="1">
        <v>45305</v>
      </c>
      <c r="B14" t="s">
        <v>42</v>
      </c>
      <c r="C14" t="s">
        <v>32</v>
      </c>
      <c r="D14" t="s">
        <v>21</v>
      </c>
      <c r="E14" t="s">
        <v>15</v>
      </c>
      <c r="F14" t="s">
        <v>26</v>
      </c>
      <c r="G14" t="s">
        <v>27</v>
      </c>
      <c r="H14">
        <v>859</v>
      </c>
      <c r="I14">
        <v>5</v>
      </c>
      <c r="J14">
        <v>214.75</v>
      </c>
      <c r="K14" s="4">
        <v>4509.75</v>
      </c>
      <c r="L14" t="s">
        <v>38</v>
      </c>
    </row>
    <row r="15" spans="1:12" x14ac:dyDescent="0.25">
      <c r="A15" s="1">
        <v>45306</v>
      </c>
      <c r="B15" t="s">
        <v>43</v>
      </c>
      <c r="C15" t="s">
        <v>24</v>
      </c>
      <c r="D15" t="s">
        <v>21</v>
      </c>
      <c r="E15" t="s">
        <v>15</v>
      </c>
      <c r="F15" t="s">
        <v>16</v>
      </c>
      <c r="G15" t="s">
        <v>22</v>
      </c>
      <c r="H15">
        <v>484</v>
      </c>
      <c r="I15">
        <v>3</v>
      </c>
      <c r="J15">
        <v>72.599999999999994</v>
      </c>
      <c r="K15" s="4">
        <v>1524.6</v>
      </c>
      <c r="L15" t="s">
        <v>38</v>
      </c>
    </row>
    <row r="16" spans="1:12" x14ac:dyDescent="0.25">
      <c r="A16" s="1">
        <v>45307</v>
      </c>
      <c r="B16" t="s">
        <v>44</v>
      </c>
      <c r="C16" t="s">
        <v>37</v>
      </c>
      <c r="D16" t="s">
        <v>21</v>
      </c>
      <c r="E16" t="s">
        <v>30</v>
      </c>
      <c r="F16" t="s">
        <v>26</v>
      </c>
      <c r="G16" t="s">
        <v>27</v>
      </c>
      <c r="H16">
        <v>1418</v>
      </c>
      <c r="I16">
        <v>1</v>
      </c>
      <c r="J16">
        <v>70.900000000000006</v>
      </c>
      <c r="K16" s="4">
        <v>1488.9</v>
      </c>
      <c r="L16" t="s">
        <v>28</v>
      </c>
    </row>
    <row r="17" spans="1:12" x14ac:dyDescent="0.25">
      <c r="A17" s="1">
        <v>45308</v>
      </c>
      <c r="B17" t="s">
        <v>45</v>
      </c>
      <c r="C17" t="s">
        <v>20</v>
      </c>
      <c r="D17" t="s">
        <v>21</v>
      </c>
      <c r="E17" t="s">
        <v>15</v>
      </c>
      <c r="F17" t="s">
        <v>16</v>
      </c>
      <c r="G17" t="s">
        <v>46</v>
      </c>
      <c r="H17">
        <v>248</v>
      </c>
      <c r="I17">
        <v>3</v>
      </c>
      <c r="J17">
        <v>37.200000000000003</v>
      </c>
      <c r="K17" s="4">
        <v>781.2</v>
      </c>
      <c r="L17" t="s">
        <v>18</v>
      </c>
    </row>
    <row r="18" spans="1:12" x14ac:dyDescent="0.25">
      <c r="A18" s="1">
        <v>45309</v>
      </c>
      <c r="B18" t="s">
        <v>47</v>
      </c>
      <c r="C18" t="s">
        <v>37</v>
      </c>
      <c r="D18" t="s">
        <v>21</v>
      </c>
      <c r="E18" t="s">
        <v>15</v>
      </c>
      <c r="F18" t="s">
        <v>26</v>
      </c>
      <c r="G18" t="s">
        <v>27</v>
      </c>
      <c r="H18">
        <v>211</v>
      </c>
      <c r="I18">
        <v>1</v>
      </c>
      <c r="J18">
        <v>10.55</v>
      </c>
      <c r="K18" s="4">
        <v>221.55</v>
      </c>
      <c r="L18" t="s">
        <v>38</v>
      </c>
    </row>
    <row r="19" spans="1:12" x14ac:dyDescent="0.25">
      <c r="A19" s="1">
        <v>45310</v>
      </c>
      <c r="B19" t="s">
        <v>48</v>
      </c>
      <c r="C19" t="s">
        <v>24</v>
      </c>
      <c r="D19" t="s">
        <v>21</v>
      </c>
      <c r="E19" t="s">
        <v>30</v>
      </c>
      <c r="F19" t="s">
        <v>16</v>
      </c>
      <c r="G19" t="s">
        <v>49</v>
      </c>
      <c r="H19">
        <v>1171</v>
      </c>
      <c r="I19">
        <v>2</v>
      </c>
      <c r="J19">
        <v>117.1</v>
      </c>
      <c r="K19" s="4">
        <v>2459.1</v>
      </c>
      <c r="L19" t="s">
        <v>38</v>
      </c>
    </row>
    <row r="20" spans="1:12" x14ac:dyDescent="0.25">
      <c r="A20" s="1">
        <v>45311</v>
      </c>
      <c r="B20" t="s">
        <v>50</v>
      </c>
      <c r="C20" t="s">
        <v>20</v>
      </c>
      <c r="D20" t="s">
        <v>14</v>
      </c>
      <c r="E20" t="s">
        <v>15</v>
      </c>
      <c r="F20" t="s">
        <v>16</v>
      </c>
      <c r="G20" t="s">
        <v>46</v>
      </c>
      <c r="H20">
        <v>370</v>
      </c>
      <c r="I20">
        <v>3</v>
      </c>
      <c r="J20">
        <v>55.5</v>
      </c>
      <c r="K20" s="4">
        <v>1165.5</v>
      </c>
      <c r="L20" t="s">
        <v>28</v>
      </c>
    </row>
    <row r="21" spans="1:12" x14ac:dyDescent="0.25">
      <c r="A21" s="1">
        <v>45312</v>
      </c>
      <c r="B21" t="s">
        <v>51</v>
      </c>
      <c r="C21" t="s">
        <v>20</v>
      </c>
      <c r="D21" t="s">
        <v>25</v>
      </c>
      <c r="E21" t="s">
        <v>15</v>
      </c>
      <c r="F21" t="s">
        <v>26</v>
      </c>
      <c r="G21" t="s">
        <v>27</v>
      </c>
      <c r="H21">
        <v>523</v>
      </c>
      <c r="I21">
        <v>2</v>
      </c>
      <c r="J21">
        <v>52.3</v>
      </c>
      <c r="K21" s="4">
        <v>1098.3</v>
      </c>
      <c r="L21" t="s">
        <v>18</v>
      </c>
    </row>
    <row r="22" spans="1:12" x14ac:dyDescent="0.25">
      <c r="A22" s="1">
        <v>45313</v>
      </c>
      <c r="B22" t="s">
        <v>52</v>
      </c>
      <c r="C22" t="s">
        <v>20</v>
      </c>
      <c r="D22" t="s">
        <v>25</v>
      </c>
      <c r="E22" t="s">
        <v>15</v>
      </c>
      <c r="F22" t="s">
        <v>16</v>
      </c>
      <c r="G22" t="s">
        <v>17</v>
      </c>
      <c r="H22">
        <v>211</v>
      </c>
      <c r="I22">
        <v>3</v>
      </c>
      <c r="J22">
        <v>31.65</v>
      </c>
      <c r="K22" s="4">
        <v>664.65</v>
      </c>
      <c r="L22" t="s">
        <v>18</v>
      </c>
    </row>
    <row r="23" spans="1:12" x14ac:dyDescent="0.25">
      <c r="A23" s="1">
        <v>45314</v>
      </c>
      <c r="B23" t="s">
        <v>53</v>
      </c>
      <c r="C23" t="s">
        <v>20</v>
      </c>
      <c r="D23" t="s">
        <v>21</v>
      </c>
      <c r="E23" t="s">
        <v>15</v>
      </c>
      <c r="F23" t="s">
        <v>16</v>
      </c>
      <c r="G23" t="s">
        <v>46</v>
      </c>
      <c r="H23">
        <v>1488</v>
      </c>
      <c r="I23">
        <v>1</v>
      </c>
      <c r="J23">
        <v>74.400000000000006</v>
      </c>
      <c r="K23" s="4">
        <v>1562.4</v>
      </c>
      <c r="L23" t="s">
        <v>38</v>
      </c>
    </row>
    <row r="24" spans="1:12" x14ac:dyDescent="0.25">
      <c r="A24" s="1">
        <v>45315</v>
      </c>
      <c r="B24" t="s">
        <v>54</v>
      </c>
      <c r="C24" t="s">
        <v>13</v>
      </c>
      <c r="D24" t="s">
        <v>21</v>
      </c>
      <c r="E24" t="s">
        <v>30</v>
      </c>
      <c r="F24" t="s">
        <v>26</v>
      </c>
      <c r="G24" t="s">
        <v>17</v>
      </c>
      <c r="H24">
        <v>228</v>
      </c>
      <c r="I24">
        <v>1</v>
      </c>
      <c r="J24">
        <v>11.4</v>
      </c>
      <c r="K24" s="4">
        <v>239.4</v>
      </c>
      <c r="L24" t="s">
        <v>38</v>
      </c>
    </row>
    <row r="25" spans="1:12" x14ac:dyDescent="0.25">
      <c r="A25" s="1">
        <v>45316</v>
      </c>
      <c r="B25" t="s">
        <v>55</v>
      </c>
      <c r="C25" t="s">
        <v>37</v>
      </c>
      <c r="D25" t="s">
        <v>21</v>
      </c>
      <c r="E25" t="s">
        <v>15</v>
      </c>
      <c r="F25" t="s">
        <v>26</v>
      </c>
      <c r="G25" t="s">
        <v>22</v>
      </c>
      <c r="H25">
        <v>1505</v>
      </c>
      <c r="I25">
        <v>5</v>
      </c>
      <c r="J25">
        <v>376.25</v>
      </c>
      <c r="K25" s="4">
        <v>7901.25</v>
      </c>
      <c r="L25" t="s">
        <v>28</v>
      </c>
    </row>
    <row r="26" spans="1:12" x14ac:dyDescent="0.25">
      <c r="A26" s="1">
        <v>45317</v>
      </c>
      <c r="B26" t="s">
        <v>56</v>
      </c>
      <c r="C26" t="s">
        <v>32</v>
      </c>
      <c r="D26" t="s">
        <v>21</v>
      </c>
      <c r="E26" t="s">
        <v>15</v>
      </c>
      <c r="F26" t="s">
        <v>16</v>
      </c>
      <c r="G26" t="s">
        <v>49</v>
      </c>
      <c r="H26">
        <v>726</v>
      </c>
      <c r="I26">
        <v>4</v>
      </c>
      <c r="J26">
        <v>145.19999999999999</v>
      </c>
      <c r="K26" s="4">
        <v>3049.2</v>
      </c>
      <c r="L26" t="s">
        <v>18</v>
      </c>
    </row>
    <row r="27" spans="1:12" x14ac:dyDescent="0.25">
      <c r="A27" s="1">
        <v>45318</v>
      </c>
      <c r="B27" t="s">
        <v>57</v>
      </c>
      <c r="C27" t="s">
        <v>32</v>
      </c>
      <c r="D27" t="s">
        <v>14</v>
      </c>
      <c r="E27" t="s">
        <v>30</v>
      </c>
      <c r="F27" t="s">
        <v>16</v>
      </c>
      <c r="G27" t="s">
        <v>49</v>
      </c>
      <c r="H27">
        <v>1627</v>
      </c>
      <c r="I27">
        <v>2</v>
      </c>
      <c r="J27">
        <v>162.69999999999999</v>
      </c>
      <c r="K27" s="4">
        <v>3416.7</v>
      </c>
      <c r="L27" t="s">
        <v>28</v>
      </c>
    </row>
    <row r="28" spans="1:12" x14ac:dyDescent="0.25">
      <c r="A28" s="1">
        <v>45319</v>
      </c>
      <c r="B28" t="s">
        <v>58</v>
      </c>
      <c r="C28" t="s">
        <v>13</v>
      </c>
      <c r="D28" t="s">
        <v>21</v>
      </c>
      <c r="E28" t="s">
        <v>30</v>
      </c>
      <c r="F28" t="s">
        <v>16</v>
      </c>
      <c r="G28" t="s">
        <v>27</v>
      </c>
      <c r="H28">
        <v>1939</v>
      </c>
      <c r="I28">
        <v>4</v>
      </c>
      <c r="J28">
        <v>387.8</v>
      </c>
      <c r="K28" s="4">
        <v>8143.8</v>
      </c>
      <c r="L28" t="s">
        <v>38</v>
      </c>
    </row>
    <row r="29" spans="1:12" x14ac:dyDescent="0.25">
      <c r="A29" s="1">
        <v>45320</v>
      </c>
      <c r="B29" t="s">
        <v>59</v>
      </c>
      <c r="C29" t="s">
        <v>24</v>
      </c>
      <c r="D29" t="s">
        <v>25</v>
      </c>
      <c r="E29" t="s">
        <v>15</v>
      </c>
      <c r="F29" t="s">
        <v>26</v>
      </c>
      <c r="G29" t="s">
        <v>49</v>
      </c>
      <c r="H29">
        <v>1310</v>
      </c>
      <c r="I29">
        <v>4</v>
      </c>
      <c r="J29">
        <v>262</v>
      </c>
      <c r="K29" s="4">
        <v>5502</v>
      </c>
      <c r="L29" t="s">
        <v>28</v>
      </c>
    </row>
    <row r="30" spans="1:12" x14ac:dyDescent="0.25">
      <c r="A30" s="1">
        <v>45321</v>
      </c>
      <c r="B30" t="s">
        <v>60</v>
      </c>
      <c r="C30" t="s">
        <v>24</v>
      </c>
      <c r="D30" t="s">
        <v>21</v>
      </c>
      <c r="E30" t="s">
        <v>30</v>
      </c>
      <c r="F30" t="s">
        <v>16</v>
      </c>
      <c r="G30" t="s">
        <v>27</v>
      </c>
      <c r="H30">
        <v>1510</v>
      </c>
      <c r="I30">
        <v>1</v>
      </c>
      <c r="J30">
        <v>75.5</v>
      </c>
      <c r="K30" s="4">
        <v>1585.5</v>
      </c>
      <c r="L30" t="s">
        <v>38</v>
      </c>
    </row>
    <row r="31" spans="1:12" x14ac:dyDescent="0.25">
      <c r="A31" s="1">
        <v>45322</v>
      </c>
      <c r="B31" t="s">
        <v>61</v>
      </c>
      <c r="C31" t="s">
        <v>13</v>
      </c>
      <c r="D31" t="s">
        <v>25</v>
      </c>
      <c r="E31" t="s">
        <v>15</v>
      </c>
      <c r="F31" t="s">
        <v>16</v>
      </c>
      <c r="G31" t="s">
        <v>49</v>
      </c>
      <c r="H31">
        <v>664</v>
      </c>
      <c r="I31">
        <v>2</v>
      </c>
      <c r="J31">
        <v>66.400000000000006</v>
      </c>
      <c r="K31" s="4">
        <v>1394.4</v>
      </c>
      <c r="L31" t="s">
        <v>18</v>
      </c>
    </row>
    <row r="32" spans="1:12" x14ac:dyDescent="0.25">
      <c r="A32" s="1">
        <v>45323</v>
      </c>
      <c r="B32" t="s">
        <v>62</v>
      </c>
      <c r="C32" t="s">
        <v>32</v>
      </c>
      <c r="D32" t="s">
        <v>14</v>
      </c>
      <c r="E32" t="s">
        <v>15</v>
      </c>
      <c r="F32" t="s">
        <v>26</v>
      </c>
      <c r="G32" t="s">
        <v>49</v>
      </c>
      <c r="H32">
        <v>532</v>
      </c>
      <c r="I32">
        <v>2</v>
      </c>
      <c r="J32">
        <v>53.2</v>
      </c>
      <c r="K32" s="4">
        <v>1117.2</v>
      </c>
      <c r="L32" t="s">
        <v>28</v>
      </c>
    </row>
    <row r="33" spans="1:12" x14ac:dyDescent="0.25">
      <c r="A33" s="1">
        <v>45324</v>
      </c>
      <c r="B33" t="s">
        <v>63</v>
      </c>
      <c r="C33" t="s">
        <v>32</v>
      </c>
      <c r="D33" t="s">
        <v>21</v>
      </c>
      <c r="E33" t="s">
        <v>15</v>
      </c>
      <c r="F33" t="s">
        <v>16</v>
      </c>
      <c r="G33" t="s">
        <v>17</v>
      </c>
      <c r="H33">
        <v>1797</v>
      </c>
      <c r="I33">
        <v>2</v>
      </c>
      <c r="J33">
        <v>179.7</v>
      </c>
      <c r="K33" s="4">
        <v>3773.7</v>
      </c>
      <c r="L33" t="s">
        <v>28</v>
      </c>
    </row>
    <row r="34" spans="1:12" x14ac:dyDescent="0.25">
      <c r="A34" s="1">
        <v>45325</v>
      </c>
      <c r="B34" t="s">
        <v>64</v>
      </c>
      <c r="C34" t="s">
        <v>24</v>
      </c>
      <c r="D34" t="s">
        <v>25</v>
      </c>
      <c r="E34" t="s">
        <v>15</v>
      </c>
      <c r="F34" t="s">
        <v>16</v>
      </c>
      <c r="G34" t="s">
        <v>27</v>
      </c>
      <c r="H34">
        <v>1422</v>
      </c>
      <c r="I34">
        <v>4</v>
      </c>
      <c r="J34">
        <v>284.39999999999998</v>
      </c>
      <c r="K34" s="4">
        <v>5972.4</v>
      </c>
      <c r="L34" t="s">
        <v>28</v>
      </c>
    </row>
    <row r="35" spans="1:12" x14ac:dyDescent="0.25">
      <c r="A35" s="1">
        <v>45326</v>
      </c>
      <c r="B35" t="s">
        <v>65</v>
      </c>
      <c r="C35" t="s">
        <v>13</v>
      </c>
      <c r="D35" t="s">
        <v>21</v>
      </c>
      <c r="E35" t="s">
        <v>15</v>
      </c>
      <c r="F35" t="s">
        <v>16</v>
      </c>
      <c r="G35" t="s">
        <v>27</v>
      </c>
      <c r="H35">
        <v>711</v>
      </c>
      <c r="I35">
        <v>1</v>
      </c>
      <c r="J35">
        <v>35.549999999999997</v>
      </c>
      <c r="K35" s="4">
        <v>746.55</v>
      </c>
      <c r="L35" t="s">
        <v>28</v>
      </c>
    </row>
    <row r="36" spans="1:12" x14ac:dyDescent="0.25">
      <c r="A36" s="1">
        <v>45327</v>
      </c>
      <c r="B36" t="s">
        <v>66</v>
      </c>
      <c r="C36" t="s">
        <v>20</v>
      </c>
      <c r="D36" t="s">
        <v>14</v>
      </c>
      <c r="E36" t="s">
        <v>15</v>
      </c>
      <c r="F36" t="s">
        <v>26</v>
      </c>
      <c r="G36" t="s">
        <v>49</v>
      </c>
      <c r="H36">
        <v>1152</v>
      </c>
      <c r="I36">
        <v>4</v>
      </c>
      <c r="J36">
        <v>230.4</v>
      </c>
      <c r="K36" s="4">
        <v>4838.3999999999996</v>
      </c>
      <c r="L36" t="s">
        <v>38</v>
      </c>
    </row>
    <row r="37" spans="1:12" x14ac:dyDescent="0.25">
      <c r="A37" s="1">
        <v>45328</v>
      </c>
      <c r="B37" t="s">
        <v>67</v>
      </c>
      <c r="C37" t="s">
        <v>32</v>
      </c>
      <c r="D37" t="s">
        <v>21</v>
      </c>
      <c r="E37" t="s">
        <v>30</v>
      </c>
      <c r="F37" t="s">
        <v>26</v>
      </c>
      <c r="G37" t="s">
        <v>17</v>
      </c>
      <c r="H37">
        <v>668</v>
      </c>
      <c r="I37">
        <v>4</v>
      </c>
      <c r="J37">
        <v>133.6</v>
      </c>
      <c r="K37" s="4">
        <v>2805.6</v>
      </c>
      <c r="L37" t="s">
        <v>28</v>
      </c>
    </row>
    <row r="38" spans="1:12" x14ac:dyDescent="0.25">
      <c r="A38" s="1">
        <v>45329</v>
      </c>
      <c r="B38" t="s">
        <v>68</v>
      </c>
      <c r="C38" t="s">
        <v>32</v>
      </c>
      <c r="D38" t="s">
        <v>21</v>
      </c>
      <c r="E38" t="s">
        <v>15</v>
      </c>
      <c r="F38" t="s">
        <v>26</v>
      </c>
      <c r="G38" t="s">
        <v>46</v>
      </c>
      <c r="H38">
        <v>693</v>
      </c>
      <c r="I38">
        <v>2</v>
      </c>
      <c r="J38">
        <v>69.3</v>
      </c>
      <c r="K38" s="4">
        <v>1455.3</v>
      </c>
      <c r="L38" t="s">
        <v>28</v>
      </c>
    </row>
    <row r="39" spans="1:12" x14ac:dyDescent="0.25">
      <c r="A39" s="1">
        <v>45330</v>
      </c>
      <c r="B39" t="s">
        <v>69</v>
      </c>
      <c r="C39" t="s">
        <v>37</v>
      </c>
      <c r="D39" t="s">
        <v>21</v>
      </c>
      <c r="E39" t="s">
        <v>15</v>
      </c>
      <c r="F39" t="s">
        <v>26</v>
      </c>
      <c r="G39" t="s">
        <v>49</v>
      </c>
      <c r="H39">
        <v>1397</v>
      </c>
      <c r="I39">
        <v>2</v>
      </c>
      <c r="J39">
        <v>139.69999999999999</v>
      </c>
      <c r="K39" s="4">
        <v>2933.7</v>
      </c>
      <c r="L39" t="s">
        <v>18</v>
      </c>
    </row>
    <row r="40" spans="1:12" x14ac:dyDescent="0.25">
      <c r="A40" s="1">
        <v>45331</v>
      </c>
      <c r="B40" t="s">
        <v>70</v>
      </c>
      <c r="C40" t="s">
        <v>24</v>
      </c>
      <c r="D40" t="s">
        <v>25</v>
      </c>
      <c r="E40" t="s">
        <v>30</v>
      </c>
      <c r="F40" t="s">
        <v>16</v>
      </c>
      <c r="G40" t="s">
        <v>27</v>
      </c>
      <c r="H40">
        <v>1860</v>
      </c>
      <c r="I40">
        <v>3</v>
      </c>
      <c r="J40">
        <v>279</v>
      </c>
      <c r="K40" s="4">
        <v>5859</v>
      </c>
      <c r="L40" t="s">
        <v>18</v>
      </c>
    </row>
    <row r="41" spans="1:12" x14ac:dyDescent="0.25">
      <c r="A41" s="1">
        <v>45332</v>
      </c>
      <c r="B41" t="s">
        <v>71</v>
      </c>
      <c r="C41" t="s">
        <v>13</v>
      </c>
      <c r="D41" t="s">
        <v>21</v>
      </c>
      <c r="E41" t="s">
        <v>15</v>
      </c>
      <c r="F41" t="s">
        <v>16</v>
      </c>
      <c r="G41" t="s">
        <v>17</v>
      </c>
      <c r="H41">
        <v>1246</v>
      </c>
      <c r="I41">
        <v>1</v>
      </c>
      <c r="J41">
        <v>62.3</v>
      </c>
      <c r="K41" s="4">
        <v>1308.3</v>
      </c>
      <c r="L41" t="s">
        <v>18</v>
      </c>
    </row>
    <row r="42" spans="1:12" x14ac:dyDescent="0.25">
      <c r="A42" s="1">
        <v>45333</v>
      </c>
      <c r="B42" t="s">
        <v>72</v>
      </c>
      <c r="C42" t="s">
        <v>13</v>
      </c>
      <c r="D42" t="s">
        <v>21</v>
      </c>
      <c r="E42" t="s">
        <v>30</v>
      </c>
      <c r="F42" t="s">
        <v>16</v>
      </c>
      <c r="G42" t="s">
        <v>17</v>
      </c>
      <c r="H42">
        <v>1929</v>
      </c>
      <c r="I42">
        <v>4</v>
      </c>
      <c r="J42">
        <v>385.8</v>
      </c>
      <c r="K42" s="4">
        <v>8101.8</v>
      </c>
      <c r="L42" t="s">
        <v>18</v>
      </c>
    </row>
    <row r="43" spans="1:12" x14ac:dyDescent="0.25">
      <c r="A43" s="1">
        <v>45334</v>
      </c>
      <c r="B43" t="s">
        <v>73</v>
      </c>
      <c r="C43" t="s">
        <v>20</v>
      </c>
      <c r="D43" t="s">
        <v>21</v>
      </c>
      <c r="E43" t="s">
        <v>15</v>
      </c>
      <c r="F43" t="s">
        <v>26</v>
      </c>
      <c r="G43" t="s">
        <v>22</v>
      </c>
      <c r="H43">
        <v>1488</v>
      </c>
      <c r="I43">
        <v>3</v>
      </c>
      <c r="J43">
        <v>223.2</v>
      </c>
      <c r="K43" s="4">
        <v>4687.2</v>
      </c>
      <c r="L43" t="s">
        <v>18</v>
      </c>
    </row>
    <row r="44" spans="1:12" x14ac:dyDescent="0.25">
      <c r="A44" s="1">
        <v>45335</v>
      </c>
      <c r="B44" t="s">
        <v>74</v>
      </c>
      <c r="C44" t="s">
        <v>24</v>
      </c>
      <c r="D44" t="s">
        <v>21</v>
      </c>
      <c r="E44" t="s">
        <v>15</v>
      </c>
      <c r="F44" t="s">
        <v>26</v>
      </c>
      <c r="G44" t="s">
        <v>46</v>
      </c>
      <c r="H44">
        <v>1738</v>
      </c>
      <c r="I44">
        <v>2</v>
      </c>
      <c r="J44">
        <v>173.8</v>
      </c>
      <c r="K44" s="4">
        <v>3649.8</v>
      </c>
      <c r="L44" t="s">
        <v>38</v>
      </c>
    </row>
    <row r="45" spans="1:12" x14ac:dyDescent="0.25">
      <c r="A45" s="1">
        <v>45336</v>
      </c>
      <c r="B45" t="s">
        <v>75</v>
      </c>
      <c r="C45" t="s">
        <v>13</v>
      </c>
      <c r="D45" t="s">
        <v>14</v>
      </c>
      <c r="E45" t="s">
        <v>15</v>
      </c>
      <c r="F45" t="s">
        <v>16</v>
      </c>
      <c r="G45" t="s">
        <v>17</v>
      </c>
      <c r="H45">
        <v>1852</v>
      </c>
      <c r="I45">
        <v>1</v>
      </c>
      <c r="J45">
        <v>92.6</v>
      </c>
      <c r="K45" s="4">
        <v>1944.6</v>
      </c>
      <c r="L45" t="s">
        <v>18</v>
      </c>
    </row>
    <row r="46" spans="1:12" x14ac:dyDescent="0.25">
      <c r="A46" s="1">
        <v>45337</v>
      </c>
      <c r="B46" t="s">
        <v>76</v>
      </c>
      <c r="C46" t="s">
        <v>32</v>
      </c>
      <c r="D46" t="s">
        <v>14</v>
      </c>
      <c r="E46" t="s">
        <v>30</v>
      </c>
      <c r="F46" t="s">
        <v>26</v>
      </c>
      <c r="G46" t="s">
        <v>17</v>
      </c>
      <c r="H46">
        <v>1132</v>
      </c>
      <c r="I46">
        <v>5</v>
      </c>
      <c r="J46">
        <v>283</v>
      </c>
      <c r="K46" s="4">
        <v>5943</v>
      </c>
      <c r="L46" t="s">
        <v>28</v>
      </c>
    </row>
    <row r="47" spans="1:12" x14ac:dyDescent="0.25">
      <c r="A47" s="1">
        <v>45338</v>
      </c>
      <c r="B47" t="s">
        <v>77</v>
      </c>
      <c r="C47" t="s">
        <v>13</v>
      </c>
      <c r="D47" t="s">
        <v>21</v>
      </c>
      <c r="E47" t="s">
        <v>30</v>
      </c>
      <c r="F47" t="s">
        <v>16</v>
      </c>
      <c r="G47" t="s">
        <v>49</v>
      </c>
      <c r="H47">
        <v>1009</v>
      </c>
      <c r="I47">
        <v>5</v>
      </c>
      <c r="J47">
        <v>252.25</v>
      </c>
      <c r="K47" s="4">
        <v>5297.25</v>
      </c>
      <c r="L47" t="s">
        <v>38</v>
      </c>
    </row>
    <row r="48" spans="1:12" x14ac:dyDescent="0.25">
      <c r="A48" s="1">
        <v>45339</v>
      </c>
      <c r="B48" t="s">
        <v>78</v>
      </c>
      <c r="C48" t="s">
        <v>20</v>
      </c>
      <c r="D48" t="s">
        <v>21</v>
      </c>
      <c r="E48" t="s">
        <v>30</v>
      </c>
      <c r="F48" t="s">
        <v>26</v>
      </c>
      <c r="G48" t="s">
        <v>22</v>
      </c>
      <c r="H48">
        <v>210</v>
      </c>
      <c r="I48">
        <v>1</v>
      </c>
      <c r="J48">
        <v>10.5</v>
      </c>
      <c r="K48" s="4">
        <v>220.5</v>
      </c>
      <c r="L48" t="s">
        <v>28</v>
      </c>
    </row>
    <row r="49" spans="1:12" x14ac:dyDescent="0.25">
      <c r="A49" s="1">
        <v>45340</v>
      </c>
      <c r="B49" t="s">
        <v>79</v>
      </c>
      <c r="C49" t="s">
        <v>24</v>
      </c>
      <c r="D49" t="s">
        <v>25</v>
      </c>
      <c r="E49" t="s">
        <v>15</v>
      </c>
      <c r="F49" t="s">
        <v>26</v>
      </c>
      <c r="G49" t="s">
        <v>49</v>
      </c>
      <c r="H49">
        <v>1500</v>
      </c>
      <c r="I49">
        <v>2</v>
      </c>
      <c r="J49">
        <v>150</v>
      </c>
      <c r="K49" s="4">
        <v>3150</v>
      </c>
      <c r="L49" t="s">
        <v>38</v>
      </c>
    </row>
    <row r="50" spans="1:12" x14ac:dyDescent="0.25">
      <c r="A50" s="1">
        <v>45341</v>
      </c>
      <c r="B50" t="s">
        <v>80</v>
      </c>
      <c r="C50" t="s">
        <v>24</v>
      </c>
      <c r="D50" t="s">
        <v>21</v>
      </c>
      <c r="E50" t="s">
        <v>30</v>
      </c>
      <c r="F50" t="s">
        <v>26</v>
      </c>
      <c r="G50" t="s">
        <v>27</v>
      </c>
      <c r="H50">
        <v>942</v>
      </c>
      <c r="I50">
        <v>5</v>
      </c>
      <c r="J50">
        <v>235.5</v>
      </c>
      <c r="K50" s="4">
        <v>4945.5</v>
      </c>
      <c r="L50" t="s">
        <v>18</v>
      </c>
    </row>
    <row r="51" spans="1:12" x14ac:dyDescent="0.25">
      <c r="A51" s="1">
        <v>45342</v>
      </c>
      <c r="B51" t="s">
        <v>81</v>
      </c>
      <c r="C51" t="s">
        <v>13</v>
      </c>
      <c r="D51" t="s">
        <v>14</v>
      </c>
      <c r="E51" t="s">
        <v>15</v>
      </c>
      <c r="F51" t="s">
        <v>16</v>
      </c>
      <c r="G51" t="s">
        <v>27</v>
      </c>
      <c r="H51">
        <v>1043</v>
      </c>
      <c r="I51">
        <v>2</v>
      </c>
      <c r="J51">
        <v>104.3</v>
      </c>
      <c r="K51" s="4">
        <v>2190.3000000000002</v>
      </c>
      <c r="L51" t="s">
        <v>28</v>
      </c>
    </row>
    <row r="52" spans="1:12" x14ac:dyDescent="0.25">
      <c r="A52" s="1"/>
      <c r="H52">
        <f>SUM(H1:H51)</f>
        <v>54507</v>
      </c>
      <c r="I52">
        <f>SUM(I1:I51)</f>
        <v>138</v>
      </c>
      <c r="J52">
        <f>SUM(J3:J51)</f>
        <v>7396.6000000000013</v>
      </c>
      <c r="K52" s="4">
        <f>SUM(K3:K51)</f>
        <v>155328.59999999998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Dashboard</vt:lpstr>
      <vt:lpstr>Sheet4</vt:lpstr>
      <vt:lpstr>Sheet9</vt:lpstr>
      <vt:lpstr>KPI</vt:lpstr>
      <vt:lpstr>Sheet10</vt:lpstr>
      <vt:lpstr>Sheet11</vt:lpstr>
      <vt:lpstr>Sheet13</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Thamaraiselvan T</cp:lastModifiedBy>
  <dcterms:created xsi:type="dcterms:W3CDTF">2025-12-27T04:58:32Z</dcterms:created>
  <dcterms:modified xsi:type="dcterms:W3CDTF">2025-12-27T18:52:13Z</dcterms:modified>
</cp:coreProperties>
</file>